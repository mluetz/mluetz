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https://reuttergroup365.sharepoint.com/sites/ISMS-Workspace/Freigegebene Dokumente/10 Audit Assessment Evidence/01 TISAX Internal Assessment DE, AT, SK, PL 26-02/04 TISAX AL3 Findings Register/"/>
    </mc:Choice>
  </mc:AlternateContent>
  <xr:revisionPtr revIDLastSave="19" documentId="11_59A1EBBBD5C1A6F10C7E2F715DA28A172BDEBCB1" xr6:coauthVersionLast="47" xr6:coauthVersionMax="47" xr10:uidLastSave="{50898019-711C-E746-AB0C-6FA99550F859}"/>
  <bookViews>
    <workbookView xWindow="0" yWindow="600" windowWidth="68800" windowHeight="28200" tabRatio="500" activeTab="1" xr2:uid="{00000000-000D-0000-FFFF-FFFF00000000}"/>
  </bookViews>
  <sheets>
    <sheet name="RATIO" sheetId="1" r:id="rId1"/>
    <sheet name="TISAX Finding Register" sheetId="2" r:id="rId2"/>
    <sheet name="Dashboard" sheetId="3" r:id="rId3"/>
    <sheet name="Anleitung" sheetId="4" r:id="rId4"/>
  </sheets>
  <definedNames>
    <definedName name="_xlnm._FilterDatabase" localSheetId="1" hidden="1">'TISAX Finding Register'!$A$1:$U$63</definedName>
  </definedNames>
  <calcPr calcId="191028"/>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3" l="1"/>
  <c r="C18" i="3"/>
  <c r="C17" i="3"/>
  <c r="C16" i="3"/>
  <c r="C15" i="3"/>
  <c r="C14" i="3"/>
  <c r="C13" i="3"/>
  <c r="C12" i="3"/>
  <c r="C11" i="3"/>
  <c r="C10" i="3"/>
  <c r="C9" i="3"/>
  <c r="C8" i="3"/>
  <c r="C7" i="3"/>
  <c r="C6" i="3"/>
  <c r="C5" i="3"/>
  <c r="C4" i="3"/>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6" i="2"/>
  <c r="K25" i="2"/>
  <c r="K24" i="2"/>
  <c r="K23" i="2"/>
  <c r="K22" i="2"/>
  <c r="K21" i="2"/>
  <c r="K20" i="2"/>
  <c r="K19" i="2"/>
  <c r="K18" i="2"/>
  <c r="K17" i="2"/>
  <c r="K16" i="2"/>
  <c r="K15" i="2"/>
  <c r="K14" i="2"/>
  <c r="K13" i="2"/>
  <c r="K12" i="2"/>
  <c r="K11" i="2"/>
  <c r="K10" i="2"/>
  <c r="K9" i="2"/>
  <c r="K8" i="2"/>
  <c r="K7" i="2"/>
  <c r="K3" i="2"/>
  <c r="K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 Luetz</author>
  </authors>
  <commentList>
    <comment ref="G1" authorId="0" shapeId="0" xr:uid="{00000000-0006-0000-0100-000001000000}">
      <text>
        <r>
          <rPr>
            <sz val="11"/>
            <color theme="1"/>
            <rFont val="Calibri"/>
            <family val="2"/>
            <charset val="1"/>
          </rPr>
          <t>Mark Luetz:
Opportunities for Improvement (OFI)</t>
        </r>
      </text>
    </comment>
    <comment ref="I1" authorId="0" shapeId="0" xr:uid="{00000000-0006-0000-0100-000002000000}">
      <text>
        <r>
          <rPr>
            <sz val="11"/>
            <color theme="1"/>
            <rFont val="Calibri"/>
            <family val="2"/>
            <charset val="1"/>
          </rPr>
          <t>Mark Luetz:
ISAX Reifegradmodell (0–5) – Erklärung
Reifegrad 0 – Unvollständig
Prozess nicht vorhanden oder völlig ungeeignet
Keine systematische Umsetzung
KO‑Kriterium wenn Muss-Anforderung betroffen ist
Reifegrad 1 – Durchgeführt
Prozess wird ad-hoc ausgeführt
Nicht dokumentiert
Ergebnisse nicht nachvollziehbar
Verantwortlichkeiten unklar
Reifegrad 2 – Gesteuert
Prozess dokumentiert
Regelmäßige Durchführung nachweisbar
Verantwortlichkeiten definiert
Umsetzung vorhanden, aber nicht einheitlich im Unternehmen
Reifegrad 3 – Etabliert (TISAX‑Zielniveau)
Standardisierter, messbarer Prozess
Unternehmensweit einheitlich
Regelmäßige Reviews, KPIs, Verbesserungen
Nachhaltige Nutzung über längere Zeit
Reifegrad 4 – Vorhersagbar
Prozess wird quantitativ gesteuert
Kennzahlen erlauben Prognosen
Grenzwerte definiert (KPIs)
Kontinuierliche Überwachung
Reifegrad 5 – Optimierend
Kontinuierliche Verbesserung aktiv betrieben
Dedizierte Ressourcen für Prozessoptimierung
Reife, vorhersagbare Prozesse werden weiter verfeinert</t>
        </r>
      </text>
    </comment>
  </commentList>
</comments>
</file>

<file path=xl/sharedStrings.xml><?xml version="1.0" encoding="utf-8"?>
<sst xmlns="http://schemas.openxmlformats.org/spreadsheetml/2006/main" count="1093" uniqueCount="643">
  <si>
    <t>Finding-ID</t>
  </si>
  <si>
    <t>ISA Modul</t>
  </si>
  <si>
    <t>Kapitel</t>
  </si>
  <si>
    <t>Kontroll-Nr.</t>
  </si>
  <si>
    <t>Kontrollfrage (EN)</t>
  </si>
  <si>
    <t>Kontrollfrage (DE)</t>
  </si>
  <si>
    <t>Finding-Typ</t>
  </si>
  <si>
    <t>Finding-Beschreibung</t>
  </si>
  <si>
    <t>Reifegrad
IST (0-5)</t>
  </si>
  <si>
    <t>Reifegrad SOLL</t>
  </si>
  <si>
    <t>Gap</t>
  </si>
  <si>
    <t>Maßnahme</t>
  </si>
  <si>
    <t>Umsetzungsgegenstand, Prozessbezug und Workflow Items</t>
  </si>
  <si>
    <t>Verantwortlich</t>
  </si>
  <si>
    <t>Standort</t>
  </si>
  <si>
    <t>Priorität</t>
  </si>
  <si>
    <t>Status</t>
  </si>
  <si>
    <t>Frist</t>
  </si>
  <si>
    <t>Nachweis / Link</t>
  </si>
  <si>
    <t>ISB-Kommentar</t>
  </si>
  <si>
    <t>Ct.</t>
  </si>
  <si>
    <t>F-General</t>
  </si>
  <si>
    <t>General Evidence in Catalogue</t>
  </si>
  <si>
    <t>General</t>
  </si>
  <si>
    <t>Automotive treatment by OEM</t>
  </si>
  <si>
    <t>Observation</t>
  </si>
  <si>
    <t>Die OEM´s versuchen Ihre Lieferanten auszusortieren, über diesen (TISAX) Vorwand, kommt auf die Auswahl an alternativen Lieferanten an. Wenn Preis gleich ist oder wenn ersetzbar. Wenn schwer ersatzbar dann ist TISAX wieder wichtig.</t>
  </si>
  <si>
    <t>Vorgelagert (Voraussetzung):
- keine (eigenständige Lessons-Learned-Auswertung)
Nachgelagert (liefert Input an):
- Row 31 / F-013 / 1.6.1 (Incident Meldewesen)
- Row 33 / F-015 / 1.6.3 (Krisen-/BCM)
- Row 49 / F-031 / 5.2.3 (Malware-Schutz)
- Row 50 / F-032 / 5.2.4 (Logging/Eventprot.)
- Row 54 / F-036 / 5.2.8 (BCM/DR-Tests)
Querverweise:
- Row 32 / F-014 / 1.6.2 (OEM-Kommunikation)
- Row 6  / F-General/Major NC (Wirksamkeit ML3)</t>
  </si>
  <si>
    <t>Roland Walter</t>
  </si>
  <si>
    <t>Alle</t>
  </si>
  <si>
    <t>Hoch</t>
  </si>
  <si>
    <t>Offen</t>
  </si>
  <si>
    <t>Row "E" more details for the "how" of the implementation description</t>
  </si>
  <si>
    <t>To what extent are information security policies available?</t>
  </si>
  <si>
    <t>Inwieweit sind Informationssicherheitsrichtlinien verfügbar?</t>
  </si>
  <si>
    <t>Row E to be extended</t>
  </si>
  <si>
    <t>Klare Definition Richtlinie zur Dokumentenlenkung, Terminologie für Dateinamen, wer ist verantwortlich für Richtlinie (Einkauf, IT, etc.) -&gt; Dokumentenlenkungsrichtlinie 
Überprüfungsdatum muss ersichtlich sein. Ist der Verantwortliche sichtbar im BOS. Vorlage für Policy. -&gt; Wie werden Richtlinien erstellt , wer die Verantwortung dafür hat, Namenskonventionen und Freigabeprozess. -&gt; Prüfung ob der Prozess- bzw. Dokumentenverantwortliche im BOS genannt und ersichtlich ist. -&gt; Prozess wie BOS sich verhält, wenn der jährliche Review nicht erfolgt ist (Policy Bestandteil).</t>
  </si>
  <si>
    <t>Umsetzungsgegenstand:
Verbindliche Dokumentenlenkungsrichtlinie als Top-Level-Vorgabe für das gesamte ISMS-Policy-Framework (Namenskonvention, Versionierung, Approval, Review-Zyklus, Eigentümer/Reviewer).
Prozessbezug:
VDA ISA 1.1.1; ISO 27001 Clause 7.5 (dokumentierte Information); BOS/ISM in QBD.net.
Workflow Items:
1. Erstellung Richtlinie Dokumentenlenkung (Owner: ISB) inkl. Klassifizierungsfeld und 12-Monats-Review.
2. BOS-Steckbrief je Policy mit sichtbarem Dokumenten- und Prozessverantwortlichen.
3. BOS-Eskalations-Workflow bei nicht erfolgtem Jahres-Review.
Nachweis: Richtlinie freigegeben, Stichprobe Policy-Liste mit Reviewdatum, BOS-Reportauszug.
Abhängigkeiten (Detail s. Spalte N):
→ methodisches Cross-Cutting für alle Findings</t>
  </si>
  <si>
    <t>Vorgelagert:
- keine (methodisches Catalogue-Finding)
Nachgelagert:
- ALLE Findings (Catalogue-Pflege betrifft alle Module)
Querverweise:
- Row 4 / F-General (Unternehmensgrößen-Anpassung)
- Row 5 / F-General (Catalogue Row F)</t>
  </si>
  <si>
    <t>Policy Framework:
- ISMS-Dokumentenstrategie (Master-Dokumentenliste)
Standards/Leitfäden:
- VDA ISA 6.0.3 Anwendungsleitfaden (ENX)
- ENX Assessment Guidance (aktuelle Version)
Weitere Empfehlungen:
- Catalogue-Pflege-Prozess als Audit-Pre-Check etablieren
- Nachweispfade zentral in ISMS-Tool (z. B. SharePoint-Library) referenzieren
- Auditor-Kommunikation: Catalogue-Updates protokollieren</t>
  </si>
  <si>
    <t>Unternehmensgrößen irrelevant</t>
  </si>
  <si>
    <t>Dem Unternehmen angemessen” gibt es nicht.</t>
  </si>
  <si>
    <t>Unternehmensgröße wird nicht berücksichtigt. Wenn du AL3 willst musst du die Kontrollfragen beantworten. “</t>
  </si>
  <si>
    <t>Keine Ausnahmen bei Wirksamkeitsnachweisen aufgrund Belegschaftsgröße bzw. Unternehmensgröße.</t>
  </si>
  <si>
    <t>Umsetzungsgegenstand:
Verzicht auf Ausnahme-Argumentation aufgrund Unternehmensgröße; vollständige Erfüllung aller VDA-ISA-Kontrollen im AL3-Scope mit dokumentierter Risiko-Begründung bei Nicht-Anwendbarkeit.
Prozessbezug:
VDA ISA 6.0.3 Methodik AL3; ENX-Prüfvorgaben; SoA-Logik ISO 27001 Clause 6.1.3.
Workflow Items:
1. SoA-Review (Owner: ISB): jede 'n/a'-Markierung mit dokumentierter Risikobegründung.
2. Briefing aller Maßnahmenverantwortlichen: keine Größenargumente in Auditgesprächen.
Nachweis: SoA mit vollständiger Begründungstabelle, Trainingsnachweis.
Abhängigkeiten (Detail s. Spalte N):
→ definiert AL3-Niveau für ALLE Findings</t>
  </si>
  <si>
    <t>Policy Framework:
- Statement of Applicability (SoA) mit AL3-Begründung je Control
- ISMS-Scope-Dokument inkl. Unternehmensgrößen-Argumentation
Standards:
- VDA ISA 6.0.3 Maturity Model (ML 0–5)
- ENX Simplified Group Assessment (SGA) Guidance
- ISO/IEC 27001:2022 §4.3 Scope
Weitere Empfehlungen:
- Hybrid-Assessment-Strategie (SGA + individuell) dokumentieren
- Maturity-Gap-Analyse je Standort mit Ziel ML 2,5
- Auditor-Frühabstimmung zur AL3-Erwartungshaltung pro Werk</t>
  </si>
  <si>
    <t>Catalogue Row F</t>
  </si>
  <si>
    <t xml:space="preserve"> Row "F" must include document name, version and date.</t>
  </si>
  <si>
    <t>Bei F darauf achten das die Version und den Dokumentennamen + Datum in der excel ersichtlich ist</t>
  </si>
  <si>
    <t>Umsetzungsgegenstand:
Sicherstellung, dass in der ISA-Excel (Spalte F – Implementation) zu jeder Kontrolle Dokumentname, Versionsnummer und Datum vollständig benannt sind.
Prozessbezug:
VDA ISA 6.0.3 Antwortmethodik (Catalogue Row F); ENX-Audit-Format.
Workflow Items:
1. ISA-Excel pro Standort prüfen (Owner: ISB), Vollständigkeit Dokname/Version/Datum.
2. Standardformatvorgabe an alle Verantwortlichen kommunizieren.
Nachweis: vollständig befüllte ISA-Spalte F, Stichprobenprotokoll.
Abhängigkeiten (Detail s. Spalte N):
→ baut auf F-001/1.1.1; betrifft Spalte S aller Findings</t>
  </si>
  <si>
    <t>Policy Framework:
- RL Dokumentenlenkung mit verpflichtenden Metadaten (Name, Version, Datum, Klassifikation, Eigentümer)
- Dokumentenkopf-Vorlage (REUTIB-Corporate-Design)
Standards:
- ISO/IEC 27001:2022 A.5.1, A.5.37
- ISO 9001:2015 §7.5 (Dokumentierte Information)
- VDA ISA 6.0.3 Kap. 1.1.1
Weitere Empfehlungen:
- Document-Owner-Liste mit Review-Zyklus im ISMS-Tool
- Catalogue-Audit: Stichprobe 20 % aller Policies pro Quartal</t>
  </si>
  <si>
    <t>Control Verification</t>
  </si>
  <si>
    <t>All Kapitel</t>
  </si>
  <si>
    <t>Major NC</t>
  </si>
  <si>
    <t>Implementation of workflows and evidences of training and enforcements</t>
  </si>
  <si>
    <t>No Training, no enforcement of process according to control no Maturity Level 3</t>
  </si>
  <si>
    <t>Umsetzungsgegenstand:
Aufbau eines verbindlichen Trainings- und Enforcement-Verfahrens je Richtlinie/Standard als Kern-AL3-Voraussetzung — Reifegrad 3 setzt dokumentierte und nachweisbare Durchsetzung voraus.
Prozessbezug:
VDA ISA-Reifegradlogik (Level 3 'etabliert'); ISO 27001 Clause 7.2/7.3; VDA ISA 2.1.3 (Awareness &amp; Training).
Workflow Items:
1. Verknüpfung TTT-Konzept mit Policy-Framework (Owner: ISB + HR).
2. Schulungsmatrix Richtlinie × Zielgruppe × Standort × Sprache.
3. Wirksamkeits-Stichproben (Phishing-Simulation, Walkthrough-Tests).
4. Internes Auditprogramm integriert.
Nachweis: Trainingsregister je MA, Stichprobenprotokoll, Audit-Berichte.
Abhängigkeiten (Detail s. Spalte N):
→ zwingend vor ML3: F-001, F-002, F-011, F-018</t>
  </si>
  <si>
    <t>Vorgelagert (zwingend für ML3):
- Row 7-9 / F-001 / 1.1.1 (Policy Framework)
- Row 29 / F-011 / 1.5.1 (KPIs / Wirksamkeit)
- Row 12 / F-002 / 1.2.1 (KPI-Definition)
Nachgelagert:
- Row 36 / F-018 / 2.1.3 (TTT-Schulungskonzept)
- ALLE Findings (Workflow-Nachweise pro Owner)
Querverweise:
- Row 4 / F-General (AL3-Niveau)
- Row 30 / F-012 / 1.5.2 (Independent Review)</t>
  </si>
  <si>
    <t>Policy Framework:
- Master-Schulungs- und Awareness-Konzept (TTT)
- RL Wirksamkeitsmessung &amp; ISMS-KPIs
- Approval-Workflow-Matrix (RACI je Prozess)
Standards:
- ISO/IEC 27001:2022 §7.2 (Kompetenz), §7.3 (Awareness), §9.1 (Monitoring)
- ISO/IEC 27004 (ISMS-Metriken)
- VDA ISA 6.0.3 Kap. 1.5.1 (Wirksamkeit)
Regulatorisch:
- NIS-2 Art. 20(2) Schulungspflicht Leitung
- NIS-2 Art. 21(2)(g) Cyberhygiene &amp; Schulung
Weitere Empfehlungen:
- Vor AL3-Hauptaudit: Workflow-Walkthrough mit allen Process Ownern
- Trainings-KPI: Abdeckungsgrad ≥ 95 % je Standort
- TTT-C-Level-Approval-Meeting (30 Min) priorisieren — Vorbedingung für ML3</t>
  </si>
  <si>
    <t>F-001</t>
  </si>
  <si>
    <t>Information Security</t>
  </si>
  <si>
    <t>IS Policies and Organization</t>
  </si>
  <si>
    <t>1.1.1</t>
  </si>
  <si>
    <t>Minor NC</t>
  </si>
  <si>
    <t>Anforderung Erstellung BOS/ISM Dokumentenlenkungsrichtlinie</t>
  </si>
  <si>
    <t>Umsetzungsgegenstand:
Dokumentenlenkungsrichtlinie für BOS/ISM-Dokumente in CAQ QBD.net (Namenskonvention, Klassifizierung, Approval, Review, Archivierung).
Prozessbezug:
VDA ISA 1.1.1; ISO 27001 A.5.1 + Clause 7.5; BOS/ISM-Governance.
Workflow Items:
1. RL-Entwurf (Owner: ISB).
2. Review im BOS/ISMS-Coordination-Meeting.
3. Freigabe GL.
4. Roll-out + Awareness DE/AT/SK/PL.
Nachweis: RL v1.0 in QBD.net, Trainingsnachweis, BOS-Eintrag.
Abhängigkeiten (Detail s. Spalte N):
→ Fundament: Voraussetzung für ALLE Policy-Findings</t>
  </si>
  <si>
    <t>Policy Framework:
- Master-RL Dokumentenlenkung BOS/ISMS
- Verbindliche Metadaten: Titel, Version, Datum, Owner, Klassifikation, Freigabe
- Dokumentenstruktur-Pyramide (RL → Verfahrensanweisung → Arbeitsanweisung → Formular)
Standards:
- ISO/IEC 27001:2022 A.5.1, A.5.37
- ISO 9001:2015 §7.5
- VDA ISA 6.0.3 Kap. 1.1.1
Weitere Empfehlungen:
- Dokumentenmanagementsystem (z. B. SharePoint/M-Files) als Single Source
- Versionshistorie &amp; Approval-Workflow elektronisch (revisionssicher)
- 4-sprachige Verfügbarkeit DE/EN/SK/PL für relevante Top-Level-RL</t>
  </si>
  <si>
    <t>In Bearbeitung</t>
  </si>
  <si>
    <t>Überprüfungsdatum muss ersichtlich sein</t>
  </si>
  <si>
    <t>Nachprüfung und Ergänzung Reviewdatum muss  in der Policy nach Approval sichtbar sein.</t>
  </si>
  <si>
    <t>Umsetzungsgegenstand:
Sichtbarmachung des Review- und Approval-Datums in der Kopfzeile jeder Policy nach Freigabe.
Prozessbezug:
VDA ISA 1.1.1; Dokumentenlenkungsrichtlinie (Bezug F-001/Row 7).
Workflow Items:
1. Policy-Template anpassen (Felder: letzte Review, nächste Review, Approver, Approval-Datum) — Owner: ISB.
2. Nacharbeit aller Bestandsdokumente.
3. BOS-Reporting Liste aller RL mit Review-Daten.
Nachweis: Sample-Audit 5 RL, BOS-Reportauszug.
Abhängigkeiten (Detail s. Spalte N):
→ baut auf F-001/1.1.1</t>
  </si>
  <si>
    <t>Policy Framework:
- Review-Zyklen-Matrix: Top-Level-RL jährlich, Verfahrensanweisungen 2-jährlich, anlassbezogen ad hoc
- Review-Trigger: Gesetzesänderung, Vorfall, Audit-Finding, Org-Änderung
Standards:
- ISO/IEC 27001:2022 A.5.1.2 (Review of policies)
- ISO 9001:2015 §7.5.3
Weitere Empfehlungen:
- Automatisierte Erinnerungen 60/30/14 Tage vor Review-Datum
- Review-Protokoll als Pflichtnachweis (auch bei 'no changes')
- Quartalsbericht 'überfällige Reviews' an CIO/Geschäftsleitung</t>
  </si>
  <si>
    <t>Mark Lütz</t>
  </si>
  <si>
    <t>Alle Policies in der Klassifizierung auf "Intern" umstellen.</t>
  </si>
  <si>
    <t>Umstellung Klassifizierung auf "Intern".</t>
  </si>
  <si>
    <t>Umsetzungsgegenstand:
Vereinheitlichung der Dokumentenklassifizierung aller internen Richtlinien auf 'Intern' gem. Klassifizierungsschema.
Prozessbezug:
VDA ISA 1.1.1; Asset-Mgmt.- und Klassifizierungs-Policy; ISO 27001 A.5.12/A.5.13.
Workflow Items:
1. Bestandsaufnahme aller Policies (Owner: ISB) und Klassifizierungsstatus.
2. Bulk-Anpassung Klassifizierung 'Intern' in QBD.net.
3. Aktualisierung Template-Standard.
Nachweis: Klassifizierungs-Auditliste, QBD.net-Reportauszug.
Abhängigkeiten (Detail s. Spalte N):
→ baut auf F-001 + F-010; nachgelagert F-028</t>
  </si>
  <si>
    <t>Vorgelagert:
- Row 7 / F-001 / 1.1.1 (Dokumentenlenkungs-RL)
- Row 28 / F-010 / 1.4.1 (Klassifizierungsschema)
Nachgelagert:
- ALLE Policies (einheitliche Klassifikation)
- Row 46 / F-028 / 5.1.2 (Verschlüsselung je Klasse)
Querverweise:
- Row 42 / F-024 / 4.1.2 (MFA je Klassifikation)</t>
  </si>
  <si>
    <t>Policy Framework:
- RL Informationsklassifizierung mit 4 Stufen: Öffentlich / Intern / Vertraulich / Streng vertraulich
- OEM-spezifisches Mapping ('Strictly Confidential' = Streng vertraulich)
Standards:
- ISO/IEC 27001:2022 A.5.12, A.5.13
- VDA ISA 6.0.3 Kap. 1.4.1
- VDA Prototypenschutz-Leitfaden
Weitere Empfehlungen:
- Dokumentenkopf-Vorlage mit Klassifikations-Stempel
- DLP-Policy verknüpft mit Klassifikation (M365 Sensitivity Labels)
- Schulungs-Modul Klassifikation als Pflichtschulung (TTT-Phase 2)</t>
  </si>
  <si>
    <t>F-002</t>
  </si>
  <si>
    <t>1.2.1</t>
  </si>
  <si>
    <t>To what extent is information security managed within the organization?</t>
  </si>
  <si>
    <t>Inwieweit wird die Informationssicherheit innerhalb der Organisation verwaltet?</t>
  </si>
  <si>
    <t>Security Incident Response Mgmt.</t>
  </si>
  <si>
    <t>Was sind "Safety &amp; Security Vorfälle", aktuell gibt es keine Beschreibung. Aufnahme Meldekette und entspr. Saftey &amp; Sec. Incident Mailbox. Anpassung PROC für Prozessimplementierung, POL anpassen (inkl. Beispiele), Guideline aufbauen und STD für die entspr. Bereiche, inkl. Trainings in den Sprachversionen.</t>
  </si>
  <si>
    <t>Umsetzungsgegenstand:
Vollständige Etablierung Information-Security-Incident-Response: Definition Sicherheitsereignis vs. Sicherheitsvorfall, Meldekette, zentrale Mailbox, Sprachversionen, Trainings.
Prozessbezug:
VDA ISA 1.2.1 + 1.6.1/1.6.2; ISO 27001 A.5.24–A.5.28; NIS-2 Art. 23 (Meldepflichten).
Workflow Items:
1. RL Incident Response (Owner: ISB) mit definierten Begriffen.
2. Aufbau STD Meldekette + zentrale Mailbox security-incident@reutib.com.
3. PROC-Anpassung für IT/OT/Facility/Krisenstab.
4. Trainings DE/EN/SK/PL inkl. OT-Schichtleiter.
Nachweis: RL/STD/PROC freigegeben, Trainingsnachweise, Live-Tickets als Wirksamkeit.
Abhängigkeiten (Detail s. Spalte N):
→ Major NC; baut auf F-001 + F-010; treibt F-013/F-014/F-015</t>
  </si>
  <si>
    <t>Vorgelagert:
- Row 7 / F-001 / 1.1.1 (Doku-Lenkung)
- Row 28 / F-010 / 1.4.1 (Risiko-Framework)
Nachgelagert (entfaltet sich in):
- Row 31 / F-013 / 1.6.1 (Incident Meldewesen)
- Row 32 / F-014 / 1.6.2 (OEM-Kommunikation)
- Row 33 / F-015 / 1.6.3 (Krise/BCM)
Querverweise:
- Row 2 / F-General (Play-Ransomware Lessons-Learned)
- Row 49 / F-031 / 5.2.3 (Malware)
- Row 50 / F-032 / 5.2.4 (Logging als Detektion)</t>
  </si>
  <si>
    <t>Policy Framework:
- RL Incident Response &amp; Security Operations
- IR-Playbooks (Ransomware, Phishing, Data Breach, OT-Incident)
- SOC-Runbook für 24/7-Reaktion (extern oder intern)
Standards:
- ISO/IEC 27001:2022 A.5.24-A.5.28
- ISO/IEC 27035-1/-2 (Incident Mgmt Lifecycle)
- NIST SP 800-61r2 (Computer Security Incident Handling)
- VDA ISA 6.0.3 Kap. 1.2.1 / 1.6.x
Regulatorisch:
- NIS-2 Art. 21(2)(c), Art. 23 (Meldepflicht)
- DSGVO Art. 33, 34 (Datenschutzvorfälle)
Weitere Empfehlungen:
- Major NC: Vorbereitung Wirksamkeitsnachweis mit Sophos-XDR-Auswertung
- Eskalations-Matrix mit OEM-Kontakten je Werk
- Tabletop-Übung 2026 vor Hauptaudit</t>
  </si>
  <si>
    <t>ISB, IT, GL</t>
  </si>
  <si>
    <t>Audit Programm u. Verantwortlichkeiten fehlen.</t>
  </si>
  <si>
    <t>Internes Auditprogramm, wann , wer und wo definiert.</t>
  </si>
  <si>
    <t>Umsetzungsgegenstand:
Internes ISMS-Auditprogramm (3-Jahres-Plan) mit definierten Auditzeitpunkten, Auditorenpool, Auditbereichen und Berichtswesen.
Prozessbezug:
VDA ISA 1.2.1 + 1.5.2; ISO 27001 Clause 9.2.
Workflow Items:
1. 3-Jahres-Auditplan (Owner: ISB).
2. Auditorenpool (intern + unabhängig) etablieren.
3. Audit-Programm-Richtlinie freigeben (GL).
4. Erste interne Audits DE-Leutenbach und AT-Bischofshofen.
Nachweis: Auditplan, Auditberichte, Management-Review-Input.
Abhängigkeiten (Detail s. Spalte N):
→ Major NC; liefert Input an F-011 (1.5.1) und F-012 (1.5.2)</t>
  </si>
  <si>
    <t>Vorgelagert:
- Row 7 / F-001 / 1.1.1 (Doku-Lenkung)
- Row 16 / F-003 / 1.2.2 (ISB-Organigramm)
Nachgelagert:
- Row 29 / F-011 / 1.5.1 (Wirksamkeitsnachweise)
- Row 30 / F-012 / 1.5.2 (Independent ISMS Review)
- Row 50 / F-032 / 5.2.4 (Logging als Audit-Quelle)
Querverweise:
- Row 12 / F-002 / 1.2.1 (KPIs)</t>
  </si>
  <si>
    <t>Policy Framework:
- RL Internes Audit &amp; Management Review
- Jahres-Auditprogramm 2026/2027 (rollierender 3-Jahres-Plan)
- Audit-Charter (Unabhängigkeit, Berichtsweg an Geschäftsleitung)
Standards:
- ISO/IEC 27001:2022 §9.2 (Internal Audit), §9.3 (Management Review)
- ISO 19011:2018 (Audit-Leitfaden)
- VDA ISA 6.0.3 Kap. 1.2.1
Weitere Empfehlungen:
- Lead Auditor-Qualifikation für 1 Person je Standort
- Audit-Plan inkl. OT-Werke SK/PL/AT mit IEC-62443-Fokus
- Audit-Findings-Tracker mit CAPA-Workflow (PDCA)</t>
  </si>
  <si>
    <t>Mittel</t>
  </si>
  <si>
    <t>Fehlende KPIs, Bewertung in der Label Abhängigkeit wo für die Controls notwendig.Nachweis fehlt für Assessment bzgl. Anwendbarkeit der Labels.</t>
  </si>
  <si>
    <t>Siehe ISMS Policy in Punkt 5.2 "Stelle mir dar, dass Du alle Control-No betrachtet hast bzgl. Confidentail u. Very High Availability, Wichtig !: Trennung von Scorecard. Scorecard link oder doc von Patrick G. an Mark -&gt; Mark erarbeitet KPI Dashboard für ISMS, Erzeugung Assessment Dokuments in der jährlichen Betrachtung.</t>
  </si>
  <si>
    <t>Umsetzungsgegenstand:
ISMS-KPI-/KRI-Dashboard mit expliziter Label-Abhängigkeit (Confidential, Very High Availability) und Nachweis vollständiger Kontrollbetrachtung im jährlichen Assessment.
Prozessbezug:
VDA ISA 1.2.1; ISO 27001 Clause 9.1; Scorecard-Ableitung (Patrick G. → Mark Lütz).
Workflow Items:
1. KPI-Set definieren (Owner: ISB) — Awareness-Quote, MTTD/MTTR, Patch-Compliance, BCM-Testrate, Lieferantenbewertungs-Quote.
2. Assessment-Dokument pro Label (C / Very High A).
3. Jährliche Wirksamkeitsbewertung als ISMS-Audit-Eingangsdokument.
Nachweis: KPI-Dashboard, Assessment-Dokument, Management-Review-Protokoll.
Abhängigkeiten (Detail s. Spalte N):
→ baut auf F-002 (Audit); Voraussetzung für F-011/F-012 + alle KPI-basierten Findings</t>
  </si>
  <si>
    <t>Vorgelagert:
- Row 11 / F-002 / 1.2.1 (Auditprogramm)
- Row 4 / F-General (AL3-Niveau)
Nachgelagert:
- Row 29 / F-011 / 1.5.1 (Wirksamkeit benötigt KPIs)
- Row 30 / F-012 / 1.5.2 (Review benötigt KPIs)
- Row 36 / F-018 / 2.1.3 (Schulungs-KPIs)
- Row 50 / F-032 / 5.2.4 (Logging-KPIs)
- Row 51 / F-033 / 5.2.5 (Patch-KPIs)
Querverweise:
- Row 6 / F-General (Workflow-KPIs)</t>
  </si>
  <si>
    <t>Policy Framework:
- RL Wirksamkeitsmessung &amp; ISMS-Kennzahlen
- KPI-Katalog je VDA-ISA-Kapitel (Label-spezifisch: IS / Prototyp / Personenbez.)
- ISMS-Cockpit (Power BI / Excel-Dashboard) mit Monats-Reporting
Standards:
- ISO/IEC 27001:2022 §9.1 (Monitoring)
- ISO/IEC 27004 (ISMS-Metriken)
- VDA ISA 6.0.3 Kap. 1.5.1 (für ML3 verbindlich)
Weitere Empfehlungen:
- Mindest-KPI-Set: Patch-Compliance, MFA-Coverage, Schulungs-Abdeckung, MTTR, Phishing-Klickrate, Vendor-Risk-Score
- Label-Anwendbarkeitsmatrix als Anhang zum SoA
- Quartals-Reporting an Geschäftsleitung als Wirksamkeitsnachweis</t>
  </si>
  <si>
    <t>F-003</t>
  </si>
  <si>
    <t>1.2.2</t>
  </si>
  <si>
    <t>To what extent are information security responsibilities organized?</t>
  </si>
  <si>
    <t>Inwieweit sind Informationssicherheitsaufgaben organisiert?</t>
  </si>
  <si>
    <t xml:space="preserve">
 Fehlende Verantwortlichkeiten in OT SK/PL und Qualitfikationsnachweise in OT/PROD.</t>
  </si>
  <si>
    <t xml:space="preserve">Wie sind die Verantworlichkeiten und die Kenntnisstände in der Produktoin definiert?  Gibt es ein Dokument wo auch patches updates im OT berreich definiert sind? . Produktionsupdates, sicherheitslücken, gibt es backups, wurde das getestet Direkte Darstellung der Verantwortlichkeiten, Dokument: 
OT Seite zwingend erweitern für Produktionslinien in SK/PL
Empfehlung für Training: Vorfallsbezogen agieren in OT
</t>
  </si>
  <si>
    <t>Umsetzungsgegenstand:
Definition und Dokumentation der IS-Verantwortlichkeiten und Qualifikationen im OT/Produktionsbereich, insbesondere für SK (Myjava) und PL (Międzyrzecze Górne).
Prozessbezug:
VDA ISA 1.2.2; IEC 62443-2-1 (Organisation und Verantwortlichkeiten im IACS); ISO 27001 A.5.2/A.5.3.
Workflow Items:
1. RACI-Matrix OT-IS pro Standort (Owner: ISB + Plant Manager).
2. HR-Qualifikationsmatrix erweitern um OT-IS-Kompetenzen.
3. Patching-/Update-Verantwortlichkeiten OT dokumentieren.
4. Vorfallsbezogenes OT-Training (Schichtebene).
Nachweis: RACI je Plant, Qualifikationsnachweise, OT-Verantwortlich-keits-RL.
Abhängigkeiten (Detail s. Spalte N):
→ baut auf F-003 (Organigramm); treibt OT-Findings SK/PL</t>
  </si>
  <si>
    <t>Vorgelagert:
- Row 16 / F-003 / 1.2.2 (ISB-Organigramm)
Nachgelagert:
- Row 14 / F-003 / 1.2.2 (OT-Assetliste SK/PL)
- Row 15 / F-003 / 1.2.2 (OT-Verträge)
- Row 21 / F-005 / 1.2.4 (OLA IT/OT)
- Row 26-27 / F-009 / 1.3.4 (OT-SW-Mgmt + IEC 62443)
- ALLE OT-Findings (5.2.5, 5.2.6, 5.2.7)
Querverweise:
- Row 17 / F-003 / 1.2.2 (IS in Projekten — Major NC)</t>
  </si>
  <si>
    <t>Policy Framework:
- RL Rollen &amp; Verantwortlichkeiten (RACI-Matrix IT/OT/IS)
- Stellenbeschreibung OT-Verantwortlicher je Werk
- Schnittstellenbeschreibung IT ↔ OT ↔ Qualität
Standards:
- ISO/IEC 27001:2022 A.5.2 (Roles &amp; Responsibilities)
- IEC 62443-2-1 (Security Programm für OT-Asset-Owner)
- VDA ISA 6.0.3 Kap. 1.2.2
Weitere Empfehlungen:
- OT-Lead je Standort SK-Myjava / PL-Międzyrzecze nominieren
- Quartals-Jour-Fixe IT/OT/IS-Triade
- OT-Verantwortlichkeiten in lokalen Sprachen kommunizieren</t>
  </si>
  <si>
    <t>SK/PL, HR, GL, ISB, OT/PROD.</t>
  </si>
  <si>
    <t>SK/PL</t>
  </si>
  <si>
    <t>Vorgegebene OT Assetliste SK/PL ist noch nicht ausgefüllt von MB/TD. Erweitern für Connectivity für IP-Traffic (warum, wohin, was, wer steuert)?</t>
  </si>
  <si>
    <t>Vervollständigung OT Asseliste und Erweiterung um Connectivity</t>
  </si>
  <si>
    <t>Umsetzungsgegenstand:
Vervollständigung der OT-Asset-Liste SK/PL inkl. IP-Connectivity-Attribute (Protokoll, Ziel, Owner, Steuerung, Klassifizierung).
Prozessbezug:
VDA ISA 1.2.2 + 1.3.1; IEC 62443-2-1 Asset Inventory; ISO 27001 A.5.9.
Workflow Items:
1. Asset-Erhebung vor Ort (Owner: Plant Manager + OT-Lead SK/PL).
2. Schemaerweiterung: Protokoll, Ziel-IP, Owner, Klassifizierung, Patchstand.
3. Übernahme in Matrix42 oder dediziertes OT-Repository.
Nachweis: Asset-Liste SK/PL vollständig, IP-Kommunikationsmatrix.
Abhängigkeiten (Detail s. Spalte N):
→ baut auf F-003; Pflicht für SK/PL; treibt OT-Findings 5.2.x</t>
  </si>
  <si>
    <t>Vorgelagert:
- Row 13 / F-003 / 1.2.2 (OT-Verantwortlichkeiten)
- Row 23 / F-006 / 1.3.1 (Asset Mgmt-Methodik)
Nachgelagert:
- Row 51 / F-033 / 5.2.5 (OT-Vulnerability Mgmt)
- Row 52 / F-034 / 5.2.6 (OT-Pentest)
- Row 53 / F-035 / 5.2.7 (OT-Netzwerk-Zonierung)
- Row 55 / F-037 / 5.2.9 (OT-Backup)
- Row 26-27 / F-009 / 1.3.4 (OT-SW)
Querverweise:
- Row 47 / F-029 / 5.2.1 (OT-Change-Mgmt)</t>
  </si>
  <si>
    <t>Policy Framework:
- OT-Asset-Inventarisierungs-Verfahrensanweisung
- Klassifikation OT-Assets (Level 0-3 nach Purdue-Modell)
Standards:
- IEC 62443-2-1 §SP.04 (Asset Inventory)
- IEC 62443-3-2 (Risk Assessment &amp; Zone/Conduit-Modell)
- ISO/IEC 27001:2022 A.5.9
- VDA ISA 6.0.3 Kap. 1.3.1 / 1.3.4
Weitere Empfehlungen:
- Tool-Auswahl: passives OT-Discovery (z. B. Claroty, Nozomi, Tenable.ot) für SK/PL
- OT-Asset-Liste in Matrix42 als getrennte CMDB-Sicht
- Kritikalitäts-Tagging je Anlage (Produktionsausfall-Folgekosten)</t>
  </si>
  <si>
    <t>Mark Lütz (SK/PL -&gt; OT/PROD)</t>
  </si>
  <si>
    <t>Information Sec. Anforderungen an OT Verträge und Assessment; Brandmeldeanlage, KLIMA etc.</t>
  </si>
  <si>
    <t>Prüfung der bestehenden Verträge OT (SK/PL) -&gt; wie sehen die verträge im OT bereich aus. Hot stand by mit Siemens zum beispiel. Gibt es updates für sps und wer stellt sie zu verfügung und testet und implementiert. Asset Liste hier erforderlich für vertragliche Gegebenheiten.</t>
  </si>
  <si>
    <t>Umsetzungsgegenstand:
Prüfung und Anpassung bestehender OT-Wartungs-/Service-Verträge (SPS-Hersteller, Klima, BMA) gegen IS-Anforderungen (Hot-Standby, Patch-Bereitstellung, Testing, Datenfluss).
Prozessbezug:
VDA ISA 1.2.2 + 6.1.1; ISO 27001 A.5.19–A.5.22 (Lieferantenbeziehungen).
Workflow Items:
1. Vertrags-Inventur OT-Lieferanten SK/PL (Owner: Plant Manager + Einkauf + ISB).
2. IS-Clause-Set: NDA, Incident-Notify, Patch-SLA, Asset-Listenpflege.
3. Nachverhandlung kritischer Verträge (z. B. Siemens Hot-Standby).
Nachweis: Vertragsregister, IS-Annex je Vertrag, ISRA-Eintrag bei Restrisiko.
Abhängigkeiten (Detail s. Spalte N):
→ Major NC; baut auf F-003 + F-001; treibt F-005/F-042/F-043</t>
  </si>
  <si>
    <t>Vorgelagert:
- Row 14 / F-003 / 1.2.2 (OT-Assetliste)
- Row 7 / F-001 / 1.1.1 (Vertragsvorlagen)
Nachgelagert:
- Row 21 / F-005 / 1.2.4 (OLA)
- Row 22 / F-005 / 1.2.4 (externe OT-Zugriffe)
- Row 60 / F-042 / 6.1.1 (Supplier-IS-Mgmt)
- Row 61 / F-043 / 6.1.2 (NDA)
Querverweise:
- Row 25 / F-008 / 1.3.3 (Externe IT-Dienste)</t>
  </si>
  <si>
    <t>Policy Framework:
- RL OT-Lieferanten &amp; Wartungspartner mit IS-Mindestanforderungen
- Pflicht-Anhang IS-Klauseln (Logging, Zugriff, Incident-Meldung, Subunternehmer)
- OT-Lieferanten-Assessment-Fragebogen (vor Vertragsabschluss)
Standards:
- ISO/IEC 27001:2022 A.5.19-A.5.23
- IEC 62443-2-4 (Security Programm-Anforderungen an Dienstleister)
- VDA ISA 6.0.3 Kap. 6.1.x
Weitere Empfehlungen:
- Major NC: Bestandsverträge OT-Wartung systematisch nachverhandeln
- Vertrags-Tracking in Einkaufstool integrieren (Eskalation bei IS-Lücke)
- Auditrecht beim Lieferanten als Pflichtklausel</t>
  </si>
  <si>
    <t>ISO Nicht im Organigramm enthalten</t>
  </si>
  <si>
    <t>Gibt es ein Organigramm auf Gruppenebene und wer ist für dieses dokument verantwortlich? wo steht das?</t>
  </si>
  <si>
    <t>Umsetzungsgegenstand:
Aufnahme der ISB-Funktion in das Gruppen-Organigramm mit klar zugewiesener Berichtslinie an die Geschäftsleitung.
Prozessbezug:
VDA ISA 1.2.1/1.2.2; ISO 27001 Clause 5.3 (Rollen und Verantwortlichkeiten).
Workflow Items:
1. Anpassung Gruppen-Organigramm (Owner: HR + GL).
2. ISB-Rolle als gestrichelte Linie zu allen Standorten visualisieren.
3. Freigabe und Ablage im BOS.
Nachweis: aktuelles Organigramm, BOS-Verlinkung.
Abhängigkeiten (Detail s. Spalte N):
→ Voraussetzung für F-002, F-003 und ISB-Eskalation aller Findings</t>
  </si>
  <si>
    <t>Vorgelagert:
- keine (Stellenbeschreibung/Org-Strukturthema)
Nachgelagert:
- Row 11 / F-002 / 1.2.1 (Audit-Berichtsweg via ISB)
- Row 13 / F-003 / 1.2.2 (OT-Verantwortlichkeiten)
- ALLE Findings (ISB-Eskalationspfad)
Querverweise:
- Row 30 / F-012 / 1.5.2 (Unabhängigkeit der Review)</t>
  </si>
  <si>
    <t>Policy Framework:
- Aktualisiertes Organigramm Reutter Group inkl. ISB-Position
- ISB-Stellenbeschreibung mit direktem Berichtsweg Geschäftsleitung
- Schnittstellen-Charta IT / CIO / Geschäftsleitung
Standards:
- ISO/IEC 27001:2022 A.5.2, A.5.3, A.5.4
- VDA ISA 6.0.3 Kap. 1.2.2
Regulatorisch:
- NIS-2 Art. 20 (Verantwortung Leitungsorgane)
Weitere Empfehlungen:
- ISB-Reporting-Linie unabhängig von CIO (zur Geschäftsleitung)
- ISB-Vertretungsregelung schriftlich fixieren
- Organigramm im Mitarbeiterportal sichtbar machen</t>
  </si>
  <si>
    <t>Fehlende Betrachtung der Informationssicherheit in Projekten (Sales, Engineering (PLM) und Purchaising (Supply Chaing) -&gt; Beispiel: Wir haben ein Projekt, Kunde schickt ein NDA. Wer kennt den Inhalt und wie kommt dieser zu den Projektmitarbeitern ←genauso!
 Erzeugung Projekt Policy (!)</t>
  </si>
  <si>
    <t xml:space="preserve">Infromationssicherheit in Projekten ist eines der heißesten Themen → Da sind wir (schlecht) Punkt 1.2.3. Erwartung das die Projekte als Vertaulich eingestuft werden, was bedeutet das bei den Kunden Projekte? Wie lange müssen und wie lange dürfen wir Projektdaten aufbewahren? Wie händeln wir das und wo ist es definiert- Beispiel 3-6 Monaten nach Projekt muss garantiert sein das die Projektdaten nicht mehr zugänglich sind. Übergabeworkflow von Sales zum Projekt &gt; Hier existiert schon etwas - Abfragen gem. Screenshot. Wir haben ein Projekt, Kunde schickt ein NDA. Wer kennt den Inhalt und wie kommt dieser zu den Projektmitarbeitern ←genauso!
Übergabe der Kundeninformationen Kundenabmachungen wie z.b. NDA muss in einen übergabe WF. Selbes für Vertragsinformationen (Beispiel: dürfen später sublieferenten verwendet werden, wie bekommt das prokjekt so ein Vertragsinfomrationsteil mit) -&gt; Siehe Ausschnitt aus Screenshot was die Auditoren erwarten bzw. was in der Regel im Kontext mit der AL3 Zert. zu Gesicht bekommen. -&gt; Screenshot StageReview 20.4.26 Expectations
 </t>
  </si>
  <si>
    <t>Umsetzungsgegenstand:
Etablierung einer Projekt-Informationssicherheits-Richtlinie inkl. Klassifizierung, NDA-Handling, Sales→Projekt-Übergabe-Workflow sowie Aufbewahrungs- und Löschfristen für Projektdaten (3–6 Monate nach Projektabschluss).
Prozessbezug:
VDA ISA 1.2.3 (IS in Projekten); ISO 27001 A.5.8; OEM-Vertragsanforderungen.
Workflow Items:
1. RL Projekt-Informationssicherheit (Owner: ISB + PMO).
2. STD Sales→Projekt-Handover-WF mit Pflichtfeldern Klassifizierung, NDA-Status, Sublieferanten-Restriktionen.
3. STD Projekt-Closure mit Datenlöschungs-/Archivierungs-WF.
4. Trainings für Sales, Engineering, Purchaising.
Nachweis: RL freigegeben, Handover-Templates, Closure-Protokolle, Trainingsnachweise.
Abhängigkeiten (Detail s. Spalte N):
→ Major NC; baut auf F-001/F-010/F-043; treibt F-004 + F-038</t>
  </si>
  <si>
    <t>Vorgelagert:
- Row 7 / F-001 / 1.1.1 (Doku-Lenkung)
- Row 28 / F-010 / 1.4.1 (Risiko-Mgmt)
- Row 61 / F-043 / 6.1.2 (NDA-Lifecycle)
Nachgelagert:
- Row 18 / F-004 / 1.2.3 (Konsolidierung Projekt-IS-RL)
- Row 56 / F-038 / 5.3.1 (IS in neuen Systemen)
Querverweise:
- Row 9 / F-001 / 1.1.1 (Klassifizierung Prototypendaten)
- Row 60 / F-042 / 6.1.1 (Supplier)</t>
  </si>
  <si>
    <t>Policy Framework:
- RL Informationssicherheit in Projekten (gilt für ALLE Projekttypen)
- Projekt-Initiierungs-Checkliste mit IS-Risk-Assessment
- NDA-Templates (intern/extern/OEM) revisionssicher
Standards:
- ISO/IEC 27001:2022 A.5.8 (IS im Projektmanagement)
- ISO/IEC 27005 (Risiko-Mgmt-Methodik)
- VDA Prototypenschutz-Leitfaden (Pflicht bei OEM-Entwicklungsprojekten)
- VDA ISA 6.0.3 Kap. 1.2.2 / 1.2.3
Weitere Empfehlungen:
- Major NC: NDA-Vorlage durch externe Kanzlei prüfen lassen (Rechtsverbindlichkeit DE/AT/SK/PL)
- IS-Gate im Projekt-Phasenmodell (Stage-Gate-Reviews)
- Schulung Projektleiter zur IS-Risk-Assessment-Pflicht (TTT-Phase 3)</t>
  </si>
  <si>
    <t>ISB, GL, Hubertus Linz, Günther P., Hannes P. P. Göttling</t>
  </si>
  <si>
    <t>F-004</t>
  </si>
  <si>
    <t>1.2.3</t>
  </si>
  <si>
    <t>To what extent are information security requirements considered in projects?</t>
  </si>
  <si>
    <t>Inwieweit werden Anforderungen an Informationssicherheit in Projekten berücksichtigt?</t>
  </si>
  <si>
    <t>Umsetzungsgegenstand:
Konsolidierung der Maßnahmen aus F-003/1.2.2 zu einer durchgängigen Projekt-IS-Vorgabe als zentraler AL3-Schwerpunkt gem. Stage-Review-Erwartung (20.04.26).
Prozessbezug:
VDA ISA 1.2.3; ISO 27001 A.5.8; OEM-Prototype-Protection.
Workflow Items:
1. Übernahme F-003/Row 17 in dieses Finding.
2. Erweiterung um Engineering (PLM) und Procurement (Supply Chain).
3. Anbindung an ISRA für Projekt-Risikoeintrag.
Nachweis: identisch zu F-003/Row 17 + Projekt-Risikoeintrag im ISRA.
Abhängigkeiten (Detail s. Spalte N):
→ Konsolidierung; baut auf F-003 (Major NC)</t>
  </si>
  <si>
    <t>Vorgelagert:
- Row 17 / F-003 / 1.2.2 (IS in Projekten — Major NC)
- Row 7 / F-001 / 1.1.1 (Doku-Lenkung)
Nachgelagert:
- Row 21 / F-005 / 1.2.4 (SLA/OLA)
- Row 56 / F-038 / 5.3.1 (IS in neuen Systemen)
Querverweise:
- Row 28 / F-010 / 1.4.1 (Risiko-Mgmt)</t>
  </si>
  <si>
    <t>Policy Framework:
- Konsolidierte RL 'IS im Projekt- &amp; Produktlebenszyklus'
- Übergreifende Projekt-IS-Checkliste (Phase Initiation/Plan/Execute/Close)
Standards:
- ISO/IEC 27001:2022 A.5.8
- VDA ISA 6.0.3 Kap. 1.2.3
- PMI/IPMA-Projektmgmt-Standards mit IS-Add-on
Weitere Empfehlungen:
- Konsolidierung redundanter Projekt-Doku in einem Master-Dokument
- Projektlistung mit IS-Risikoeinstufung als ISMS-Eingangsdokument</t>
  </si>
  <si>
    <t>ISB</t>
  </si>
  <si>
    <t>1.2.4</t>
  </si>
  <si>
    <t>To what extent are the responsibilities between external IT service providers and the own organization defined?</t>
  </si>
  <si>
    <t>Inwieweit sind die Verantwortlichkeiten zwischen externen IT-Dienstleistern und der eigenen Organisation definiert?</t>
  </si>
  <si>
    <t xml:space="preserve">Should = Must Requirements bis auf Diskurs für Nachweis, dass nicht applicable.
</t>
  </si>
  <si>
    <t>Wir müssen neben den High und Very High Availability Anforderungen immer die Must &amp; Should Anforderungen mit Berücksichtigen. Es gibt die Möglichkeit Should Anforderungen wenn nicht applicable, wegzudiskutieren, dass ist aber kaum möglich!</t>
  </si>
  <si>
    <t>Umsetzungsgegenstand:
Strikte Behandlung aller 'Should'-Anforderungen als faktisch verpflichtend; Ausnahmen nur mit dokumentierter Risikoabwägung und ISB-Approval.
Prozessbezug:
VDA ISA 1.2.4 (Service-Provider) – übergreifende Methodik; ISO 27001 Clause 6.1.3 (SoA).
Workflow Items:
1. SoA-Eintrag pro 'Should'-Ausnahme inkl. Risikoreferenz.
2. ISB-Freigabe vor Auditeintragung.
Nachweis: SoA, ISRA-Eintrag, Approval-Workflow im BOS.
Abhängigkeiten (Detail s. Spalte N):
→ methodisch; betrifft Auslegung ALLER Should-Controls</t>
  </si>
  <si>
    <t>Vorgelagert:
- keine (methodischer Hinweis)
Nachgelagert:
- ALLE 'Should'-Findings (Nachweispflicht statt Optionalität)
Querverweise:
- Row 4 / F-General (AL3-Niveau)
- Row 20 / F-General (Doku-Priorität)</t>
  </si>
  <si>
    <t>Policy Framework:
- ISMS-Maturity-Strategie: 'Should = Must' für AL3 dokumentieren
Standards:
- VDA ISA 6.0.3 (Maturity-Argumentation)
- ENX AL3-Leitfaden
Weitere Empfehlungen:
- Auditor-Frühabstimmung zur 'Should'-Auslegung
- Im SoA: für 'Should'-Controls Nachweis-Strategie hinterlegen</t>
  </si>
  <si>
    <t>All</t>
  </si>
  <si>
    <t>ENX -&gt; Dokumentierte Umsetzung wichtiger als Policies (!) / e.g.: Wiederherstellung zeigen !</t>
  </si>
  <si>
    <t>Die Etablierung der Verfahren und der Nachweis der Umsetzungen ist wichtiger als die Evidenz der Verfügbarkeit des Policy Frameworks !</t>
  </si>
  <si>
    <t>Umsetzungsgegenstand:
Verschiebung des Nachweisschwerpunkts von der reinen Policy-Verfügbarkeit hin zu Verfahren und Wirksamkeitsnachweisen (Recovery-Demo, Onboarding-Walkthrough, Incident-Drill).
Prozessbezug:
VDA ISA AL3-Reifegradlogik; ENX-Audit-Erwartung; ISO 27001 Clause 9.1.
Workflow Items:
1. Mapping Policy → Verfahren → Nachweis je Kontrolle (Owner: ISB).
2. Aufbau Evidence-Repository (TISAX-Auditfile) je Kontrolle.
3. Demo-Termine für ausgewählte Verfahren (Recovery, Incident, Onboarding).
Nachweis: Evidence-Repository, Demo-Protokolle.
Abhängigkeiten (Detail s. Spalte N):
→ methodisch; betrifft Audit-Nachweisstrategie aller Findings</t>
  </si>
  <si>
    <t>Vorgelagert:
- keine (methodischer Hinweis ENX)
Nachgelagert:
- ALLE Findings (Umsetzungsnachweis vor Policy-Doku)
Querverweise:
- Row 19 / F-General (Should=Must)</t>
  </si>
  <si>
    <t>Policy Framework:
- Verschiebung des Doku-Schwerpunkts: Verfahrensanweisungen + Nachweise &gt; reine Policies
Standards:
- ENX VDA ISA 6.0.3 Auditmethodik
- ISO/IEC 27001:2022 §7.5 (Dokumentierte Information als Nachweis)
Weitere Empfehlungen:
- Auditfile-Struktur: pro Control 1 Policy + N Nachweise (Screenshots, Tickets, Protokolle)
- ISB-Audit-File 'Wirksamkeit' als zentraler Folder</t>
  </si>
  <si>
    <t>F-005</t>
  </si>
  <si>
    <t>Welche internen OLAs existieren und sind vereinbart, welche OT SLAs sind in Verträgen vereinbart und mit dem Mgmt. abgestimmt? Training und lfd. Prozess für OLA und SLA Mgmt. inkl. KPI Darstellung.</t>
  </si>
  <si>
    <t>IT &amp; OT Service Provider; Verträge für SK/PL betrachten und erörtern;  (SPS Ausfall und vertragliche Vereinbarung),  MTO/RTP/RTO Anforderungen an OT, ext. Zugriff und Authentifizierung. Personalisierte Accounts vom ext. Serv. Provider.
SLA und OLA für OT- Wo sind die, wer prüft das, welche SLA Agreements sind mit den Externen getroffen. Gleiches gilt für PLM oder AX in Polen. MAximal tolerierte Ausfallzeiten, sind diese definiert und matcht das mit den Verträgen Sinn und wenn nicht ist das Risiko bewertet</t>
  </si>
  <si>
    <t>Umsetzungsgegenstand:
Erfassung und Bewertung aller internen OLAs und externen SLAs für IT- und OT-Dienste (SPS-Wartung, PLM, AX-Polen) inkl. RTO/RPO und personalisierter Accounts externer Dienstleister.
Prozessbezug:
VDA ISA 1.2.4 + 5.2.8 (Kontinuität); ISO 27001 A.5.19–A.5.23.
Workflow Items:
1. SLA/OLA-Register (Owner: IT-Leitung + Plant Manager + ISB).
2. Bewertung Maximum-Tolerable-Outage vs. Vertragslage; ISRA-Eintrag bei Lücken.
3. Personalisierte Service-Provider-Accounts (kein Shared-Access).
4. KPI-Reporting SLA-Einhaltung.
Nachweis: SLA/OLA-Register, ISRA, KPI-Report.
Abhängigkeiten (Detail s. Spalte N):
→ Major NC; baut auf F-003/F-006/F-004</t>
  </si>
  <si>
    <t>Vorgelagert:
- Row 13 / F-003 / 1.2.2 (OT-Verantwortlichkeiten)
- Row 23 / F-006 / 1.3.1 (Asset Mgmt)
- Row 18 / F-004 / 1.2.3 (IS in Projekten)
Nachgelagert:
- Row 22 / F-005 / 1.2.4 (externe OT-Zugriffe)
- Row 57 / F-039 / 5.3.2 (Netzwerk-SLA)
- Row 60 / F-042 / 6.1.1 (Supplier-Mgmt)
Querverweise:
- Row 15 / F-003 / 1.2.2 (OT-Verträge)</t>
  </si>
  <si>
    <t>Policy Framework:
- OLA-Master für IT-interne Dienste
- OLA IT ↔ OT mit Service-Verfügbarkeiten je Anlage/Werk
- SLA-Vorlage für externe Wartungspartner
Standards:
- ISO/IEC 27001:2022 A.5.19-A.5.23
- ITIL 4 Service Level Management
- IEC 62443-2-4 (Anforderungen an Service-Provider)
- VDA ISA 6.0.3 Kap. 1.2.4
Weitere Empfehlungen:
- Major NC: OLA IT/OT für alle 4 Standorte schriftlich (Pflicht für AL3)
- Eskalationsmatrix bei OLA-Verletzung (CIO/CFO)
- Quartals-Review OLA-Erfüllung als ISMS-KPI</t>
  </si>
  <si>
    <t>Fehlener Prozess für Dokumentation von externen Zugriffsszenarien (wer, wie, wielange, worauf, encr. Meth.) im OT Bereich.</t>
  </si>
  <si>
    <t xml:space="preserve">Wie wird das mit externen Service Providern u. Vertragshaltern umgesetzt, wer greift zu, was darf er, wie lange darf er und wie sieht der Request und die Umsetzung aus. Wie wird der Zugriff dokumentiert, so dass es auch eine Historie gibt. Personalisierte Accounts vom ext. Serv. Provider sind nur erlaubt.
 </t>
  </si>
  <si>
    <t>Umsetzungsgegenstand:
Prozess für Dokumentation externer OT-Zugriffe (Wer / Worauf / Wie lange / Welche Verschlüsselung) mit historischer Nachvollziehbarkeit.
Prozessbezug:
VDA ISA 1.2.4 + 4.2.1 (Zugriffsrechte); ISO 27001 A.8.2/A.8.5; IEC 62443-3-3 SR 1.1.
Workflow Items:
1. STD 'Remote Access OT' (Owner: ISB + OT-Lead).
2. Jump-Host/Bastion-Konzept mit Session-Recording.
3. Approval-Workflow pro Zugriff (max. Gültigkeitsdauer).
4. Audit-Trail-Reporting.
Nachweis: STD, Logs-Stichprobe, Approval-Tickets.
Abhängigkeiten (Detail s. Spalte N):
→ baut auf F-005/F-003; treibt F-025/F-026/F-042</t>
  </si>
  <si>
    <t>Vorgelagert:
- Row 21 / F-005 / 1.2.4 (OLA)
- Row 15 / F-003 / 1.2.2 (OT-Verträge)
Nachgelagert:
- Row 43 / F-025 / 4.1.3 (Account-Mgmt EXT)
- Row 44 / F-026 / 4.2.1 (PAM/JIT für externe)
- Row 60 / F-042 / 6.1.1 (Supplier)
Querverweise:
- Row 50 / F-032 / 5.2.4 (Logging externer Zugriffe)</t>
  </si>
  <si>
    <t>Policy Framework:
- Verfahrensanweisung 'Externe Zugriffe' (IT/OT) inkl. Approval-Workflow
- Vendor-Access-Request-Formular
- Zeitlich befristete Zugänge (JIT) als Default
Standards:
- ISO/IEC 27001:2022 A.8.2, A.8.3, A.8.18
- IEC 62443-3-3 SR 2.1 / SR 2.2 (Access Control für OT)
- VDA ISA 6.0.3 Kap. 1.2.4 / 4.x
Weitere Empfehlungen:
- PAM-Tool für externe OT-Wartung (z. B. CyberArk, BeyondTrust)
- Session-Recording als Pflicht-Logging
- Quartals-Audit externe Konten (Stale-Account-Detektion)</t>
  </si>
  <si>
    <t>F-006</t>
  </si>
  <si>
    <t>1.3.1</t>
  </si>
  <si>
    <t>To what extent are information assets identified and recorded?</t>
  </si>
  <si>
    <t>Inwieweit werden Informationsressourcen erfasst und dokumentiert?</t>
  </si>
  <si>
    <t>Überprüfung: Sind die Netzwerkdevices im Matrix42 erfasst?
Erfassung der OT Devices neben Matrix42 in den gen. Listen für SK und PL (Erweiterung um IP Comm.)</t>
  </si>
  <si>
    <t xml:space="preserve">Beim Asset Mgmt.: Storages und Server bzw. windows devices sollten klar sein.  
OT Assests kommen in die Liste aber wie sieht es mit Software oder Dokumenten oder Backups oder Finanzdaten als Assests aus, auch diese müssen geführt werden.
Rücksprache mit GL bzgl. besondere Finance-Assets als auch andere Assets.
Welche weiteren Assetzuordnungen existieren noch?
 Welche Assets verlässt das unternehmen. Beispiel: Backups die in der cloud sind.
Vorschlag: Anpassung Policy für Prozess und Klassifizierung (jährlich) für "besondere" Assets.
Prüferfrage "beliebt": End2end Check in Matrix42 für Asset
</t>
  </si>
  <si>
    <t>Umsetzungsgegenstand:
Erweiterung des Asset Managements über klassische IT-Assets hinaus auf OT-Devices, Software, Dokumente, Backups, Finanzdaten und Cloud-resident Assets; jährlicher Klassifizierungs-Review.
Prozessbezug:
VDA ISA 1.3.1; ISO 27001 A.5.9.
Workflow Items:
1. Asset-Klassifizierungsschema (Owner: ISB): IT-HW, OT-HW, SW, Daten, Dokumente, Finanzdaten, Cloud-Assets.
2. Anpassung Asset-Mgmt-Policy: jährlicher Review, 'besondere' Assets (Finance, Backups).
3. End-to-End-Test in Matrix42 (Auditor-Standardfrage).
Nachweis: Asset-Register vollständig, Klassifizierungsbericht, Matrix42-Audit-Trail.
Abhängigkeiten (Detail s. Spalte N):
→ Fundament: Voraussetzung für F-003, F-007, F-010, F-027, F-033</t>
  </si>
  <si>
    <t>Vorgelagert:
- keine (Fundamentbaustein)
Nachgelagert:
- Row 14 / F-003 / 1.2.2 (OT-Assetliste)
- Row 24 / F-007 / 1.3.2 (Private Geräte)
- Row 28 / F-010 / 1.4.1 (Risiko-Mgmt: Assets als Schutzobjekt)
- Row 45 / F-027 / 5.1.1 (Crypto: Assets benötigen Klassifikation)
- Row 51 / F-033 / 5.2.5 (Vulnerability Mgmt)
- Row 53 / F-035 / 5.2.7 (Netzwerk-Doku)
- Row 55 / F-037 / 5.2.9 (Backup-Scope)
Querverweise:
- Row 49 / F-031 / 5.2.3 (Malware-Schutz-Scope)</t>
  </si>
  <si>
    <t>Policy Framework:
- RL Asset Management (IT + OT + Information)
- CMDB-Pflege-Verfahren (Matrix42) inkl. OT-Discovery-Integration
Standards:
- ISO/IEC 27001:2022 A.5.9-A.5.10
- ISO/IEC 19770 (IT Asset Management)
- IEC 62443-2-1 §SP.04
- VDA ISA 6.0.3 Kap. 1.3.1
Weitere Empfehlungen:
- Vollständigkeitsprüfung: Netzwerkdevices, IoT, OT-Anlagen, mobile Geräte
- Asset-Ownership pro Standort eindeutig zuweisen
- Asset-Liste als Eingangsgröße für Risk Register</t>
  </si>
  <si>
    <t>F-007</t>
  </si>
  <si>
    <t>1.3.2</t>
  </si>
  <si>
    <t>To what extent are information assets classified and managed in terms of their protection needs?</t>
  </si>
  <si>
    <t>Inwieweit werden Informationsressourcen entsprechend ihren Schutzanforderungen klassifiziert und verwaltet?</t>
  </si>
  <si>
    <t>Zugriff von nicht-unternehmens Endgeräten auf Unternehmensdaten aktuell gegeben.
Diskurs: Abschalten oderRisikobewertung.
Policy Vorgaben
Siehe auch die novierte Legacy Policy (PG) mit der Anleitung. Word to PDF, Google Translate, Deepl.com etc.</t>
  </si>
  <si>
    <t>Kein Zugriff von privaten Geräten auf Unternehmensinfrastruktur
Asset Mgmt. Policy oder Bezug auf Unternehmensgeräte anpassen: 6.5 Speicherung, Transport, Remote Access und Cloud (eMail, Teams, OneDrive - Austausch von Daten).
HomeOffice -&gt; Printer usage (TBD);
Risikobewertung -&gt; Monitoring/Logging mit Maßnahmenplan organisatorische Maßnahme (Verbot und Verfahrensanweisung)/ eMail-Versandt (!)
Konkretisierung von nicht Unternehmensgeräten
Vertrauliche Daten dürfen nur auf Firmengeräte das ist bei uns nicht gegeben. Webzugang zu MS
Zuhause drucken abschalten- Risiko bewerten in Bezug auf die vertraulichkeit die geschützt werden muss
Webmail abschalten
wie stellst du sicher das keine online umwandlung oder translation von informationen stattfindet ( als beispiel für daten die das unterehmen verlassen)</t>
  </si>
  <si>
    <t>Umsetzungsgegenstand:
Unterbindung des Zugriffs nicht registrierter (privater) Endgeräte auf Unternehmensdaten; technische Durchsetzung über Conditional Access, DLP-Regeln gegen Cloud-Konverter/-Translate und Web-Mail-Sperre extern.
Prozessbezug:
VDA ISA 1.3.2 + 3.1.4 + 4.1.2; ISO 27001 A.6.7, A.8.1, A.8.20.
Workflow Items:
1. Asset-Mgmt-Policy Kap. 6.5 ergänzen (Storage, Transport, Remote Access, Cloud).
2. Conditional Access 'Compliant Device' aktivieren.
3. DLP-Regeln gegen Upload zu Online-Translate/-Convert.
4. Drucken im Home-Office deaktivieren bzw. risikobewerten.
5. Verbots-Verfahrensanweisung + Monitoring.
Nachweis: RL, CA-Policy-Export, DLP-Reports, Verfahrensanweisung freigegeben.
Abhängigkeiten (Detail s. Spalte N):
→ Major NC; baut auf F-006/F-022; treibt F-019/F-024</t>
  </si>
  <si>
    <t>Vorgelagert:
- Row 23 / F-006 / 1.3.1 (Asset Mgmt)
- Row 40 / F-022 / 3.1.4 (Mobile Geräte)
Nachgelagert:
- Row 37 / F-019 / 2.1.4 (Remote Work)
- Row 42 / F-024 / 4.1.2 (MFA)
Querverweise:
- Row 9 / F-001 / 1.1.1 (Klassifizierung 'Intern')</t>
  </si>
  <si>
    <t>Policy Framework:
- RL BYOD / Private Endgeräte (Verbot oder MDM-Container)
- Acceptable-Use-Policy mit klarer Trennung Privat/Unternehmen
- Betriebsvereinbarung mit Betriebsrat (mehrsprachig)
Standards:
- ISO/IEC 27001:2022 A.8.1
- ISO/IEC 27031, ISO/IEC 27033 (Netzwerksicherheit)
- VDA ISA 6.0.3 Kap. 1.3.2
Regulatorisch:
- DSGVO Art. 32 (technisch-organisatorische Maßnahmen)
Weitere Empfehlungen:
- Major NC: technische Durchsetzung via Conditional Access (M365) + MDM
- Awareness: Phishing-Kampagnen + TTT-Phase 2 zu BYOD-Risiken
- Stichprobe-Audit private Geräte-Zugriffe in Logs</t>
  </si>
  <si>
    <t>F-008</t>
  </si>
  <si>
    <t>1.3.3</t>
  </si>
  <si>
    <t>To what extent is it ensured that only evaluated and approved external IT services are used for processing the organization’s information assets?</t>
  </si>
  <si>
    <t>Inwieweit wird sichergestellt, dass nur evaluierte und genehmigte externe IT-Dienste zur Verarbeitung der Informationsressourcen der Organisation verwendet werden?</t>
  </si>
  <si>
    <t>Fehlende Integration eines Assessment für Inf.Sich. Risikobewertung inkl. CIA von externen IT-Providern und dem Zugang/Zutritt auf interne IT-Infr.; gleiches für SW.
Vorgaben existieren für verschiedenste Szenarien -&gt; zusammenfassen und in die Vorgaben integrieren.</t>
  </si>
  <si>
    <t>Wenn PC nicht geht dann ticket. -&gt; Wenn Machinine nicht geht dann?  Wenn intern das problem nicht behoben werden kann, wer entscheidet und ist verantwortlich für externe unterstützung und gibt es eine liste an externen freigegebenen Partnern und der damit einhergehenden Kritierien. Das gleiche gilt für Freigebene Softwarelösungen- Wer darf wen bei was kontaktieren und wo steht es?</t>
  </si>
  <si>
    <t>Umsetzungsgegenstand:
Integration eines verbindlichen IS-/CIA-Risikoassessments für externe IT-Provider, IT-Dienste und Software vor Beauftragung; Konsolidierung bestehender Vorgaben in einem einheitlichen Standard.
Prozessbezug:
VDA ISA 1.3.3; ISO 27001 A.5.19, A.5.21, A.5.23.
Workflow Items:
1. STD 'External IT Service Assessment' (Owner: ISB).
2. Liste freigegebener Partner inkl. Auswahl-Kriterien.
3. Approval-Workflow für Notfall-Beauftragung (Maschinenausfall) mit Eskalationspfad.
4. Aufnahme bestehendes SaaS-Assessment-Toolset (M. Lütz).
Nachweis: STD, Freigabeliste, Assessment-Berichte, ISRA-Verknüpfung.
Abhängigkeiten (Detail s. Spalte N):
→ baut auf F-006; treibt F-040/F-041/F-039</t>
  </si>
  <si>
    <t>Vorgelagert:
- Row 23 / F-006 / 1.3.1 (Asset Mgmt — externe Services als Asset)
Nachgelagert:
- Row 58 / F-040 / 5.3.3 (Cloud-Disposal)
- Row 59 / F-041 / 5.3.4 (Mandantentrennung)
- Row 57 / F-039 / 5.3.2 (Netzwerk-SLA)
Querverweise:
- Row 15 / F-003 / 1.2.2 (OT-Lieferanten)
- Row 60 / F-042 / 6.1.1 (Supplier-Mgmt)</t>
  </si>
  <si>
    <t>Policy Framework:
- RL Cloud &amp; Outsourcing-Sicherheit
- Cloud-Assessment-Tool (Reutter-intern, M. Lütz) als Pflicht-Eingangs-Tor
- Vendor-Risk-Scorecard
Standards:
- ISO/IEC 27017 (Cloud-Sicherheit)
- ISO/IEC 27018 (PII in Cloud)
- BSI C5:2020 (Cloud Computing Compliance)
- VDA ISA 6.0.3 Kap. 1.3.3 / 5.3.x
Weitere Empfehlungen:
- Bestehende SaaS-Tools (M365, Sophos, Matrix42) erneut assessen
- 'Schatten-IT'-Discovery (CASB / M365 Cloud App Discovery)
- Datenklassifikations-Mapping je Cloud-Tool</t>
  </si>
  <si>
    <t>F-009</t>
  </si>
  <si>
    <t>1.3.4</t>
  </si>
  <si>
    <t>To what extent is it ensured that only evaluated and approved software is used for processing the organization’s information assets?</t>
  </si>
  <si>
    <t>Inwieweit wird sichergestellt, dass nur geprüfte und genehmigte Software zur Verarbeitung der Informationsressourcen der Organisation verwendet wird?</t>
  </si>
  <si>
    <t>Fehlender Review und Prozess für freigegeben SW. Keine Nachweise wie OT Maintenance im Wartungszyklus bewertet für neue SW und oder zusätzlicher SW.</t>
  </si>
  <si>
    <t>Zyklischer Review der bereits freigegeben SW im Bezug auf IT- oder SW-Ownership und Rückfragen, ob in dieser Form noch genutzt oder nicht, wer ist hier der Reviewer?
Aufbau Liste für PDCA und Prozess für Tracking/Review und Entscheidung.
OT nachprüfen für Prozesse bei OT-DL Querschnittsfunktionen, e.g. wie wird sichergestellt, dass während Maintenance (Wartungszyklus) keine zusätzliche SW installiert wird.</t>
  </si>
  <si>
    <t>Umsetzungsgegenstand:
Zyklischer Review freigegebener Software inkl. SW-Owner, Nutzungsstatus, Aktualität; Verfahren zur Kontrolle der Wartungsfenster im OT-Bereich gegen unautorisierte SW-Installation.
Prozessbezug:
VDA ISA 1.3.4 + 5.2.1 + 5.2.3; ISO 27001 A.8.19, A.8.32.
Workflow Items:
1. SW-Liste mit Owner und Review-Datum (Owner: IT-Leitung).
2. PDCA-Review-Zyklus halbjährlich.
3. OT-Wartungsprotokoll mit Vor-/Nach-Wartungs-Konfigurations-abgleich.
Nachweis: SW-Liste mit Review-Status, OT-Wartungsprotokolle, Stichproben.
Abhängigkeiten (Detail s. Spalte N):
→ baut auf F-006; treibt F-029/F-033</t>
  </si>
  <si>
    <t>Vorgelagert:
- Row 23 / F-006 / 1.3.1 (Asset Mgmt — SW als Asset)
Nachgelagert:
- Row 47 / F-029 / 5.2.1 (Change Mgmt)
- Row 51 / F-033 / 5.2.5 (Vulnerability Mgmt)
Querverweise:
- Row 27 / F-General / 1.3.4 (IEC 62443-Konformität)
- Row 49 / F-031 / 5.2.3 (Malware-Schutz)</t>
  </si>
  <si>
    <t>Policy Framework:
- RL Software-Freigabe &amp; Whitelisting
- SBOM-Pflicht (Software Bill of Materials) für OT-/Steuerungssoftware
Standards:
- ISO/IEC 27001:2022 A.8.19, A.8.30
- IEC 62443-4-1 (Secure Product Development Lifecycle)
- NIST SSDF (SP 800-218)
- VDA ISA 6.0.3 Kap. 1.3.4
Regulatorisch:
- EU Cyber Resilience Act (CRA) — Vorbereitung
Weitere Empfehlungen:
- SW-Freigabe-Workflow in Matrix42 abbilden
- AppLocker / WDAC-Pilot in Office-Umgebung
- OT-SW-Whitelist je Anlage SK/PL/AT</t>
  </si>
  <si>
    <t>IT / SK / PL</t>
  </si>
  <si>
    <t>Immer darauf achten wenn die ISA/IEC 62443 referenziert wird (in der Spalte P) muss OT mehr Berücksichtigt werden( Security for industrial automation and control systems)</t>
  </si>
  <si>
    <t xml:space="preserve">Durchführung Assessment Prüfkatalog wo ISA/IEC 62443 gegeben in Spalte P für den OT Kontext und Prüfung der Konformität für OT.
Erstelllung Liste mit entspr. Vorgaben für Maßnahmen und Umsetzungen
</t>
  </si>
  <si>
    <t>Umsetzungsgegenstand:
Systematische OT-Konformitätsprüfung aller VDA-ISA-Kontrollen mit IEC-62443-Referenz (Spalte P) und Ableitung OT-spezifischer Umsetzungsmaßnahmen.
Prozessbezug:
VDA ISA Spalte P (IEC 62443); IEC 62443-2-1/-3-3.
Workflow Items:
1. Filter ISA-Excel auf IEC-62443-markierte Kontrollen (Owner: ISB).
2. OT-Gap-Analyse pro Kontrolle.
3. Maßnahmenliste IT/OT-getrennt mit Verknüpfung zu OT-Patch-/VM-Standard.
Nachweis: Gap-Analyse-Bericht, Maßnahmenliste, ISRA-Eintrag.
Abhängigkeiten (Detail s. Spalte N):
→ baut auf F-003 (OT-Verantw./Assets); treibt alle OT-5.2.x-Findings</t>
  </si>
  <si>
    <t>Vorgelagert:
- Row 13 / F-003 / 1.2.2 (OT-Verantwortlichkeiten)
- Row 14 / F-003 / 1.2.2 (OT-Assetliste)
Nachgelagert:
- ALLE OT-Findings (5.2.5, 5.2.6, 5.2.7, 5.2.9)
- Row 47 / F-029 / 5.2.1 (OT-Change-Mgmt)
Querverweise:
- Row 26 / F-009 / 1.3.4 (SW-Review)</t>
  </si>
  <si>
    <t>Policy Framework:
- OT-Security-Rahmenrichtlinie (REUTIB) konform IEC 62443
- OT-Architektur-Standards mit Purdue-Modell-Referenz
Standards:
- IEC 62443-2-1, -3-2, -3-3, -4-1, -4-2 (vollständige Reihe)
- ISO/IEC 27019 (Energieversorgung; übertragbar auf Fertigung)
- VDA ISA 6.0.3 Kap. 1.3.4
Weitere Empfehlungen:
- IEC 62443 als verbindlicher Konformitätsrahmen im SoA verankern
- OT-Spezialaudit durch externen IEC-62443-Lead-Auditor (separat zu CIS)
- Schulung OT-Lead je Werk in IEC 62443</t>
  </si>
  <si>
    <t>F-010</t>
  </si>
  <si>
    <t>1.4.1</t>
  </si>
  <si>
    <t>To what extent are information security risks managed?</t>
  </si>
  <si>
    <t>Inwieweit werden Informationssicherheitsrisiken gesteuert?</t>
  </si>
  <si>
    <t>Ist die OT Bestandteil der Inf/RM Teams für Verantwortlichkeiten (?)
Fehlender Zweizeiler der Risikobetrachtung in der Risiko RL.
Very High Availability Request:
'+ Additional requirements for software use (e.g., need for control or monitoring of usage) are determined (if any) (C, I, A)</t>
  </si>
  <si>
    <t>Befüllung und Risikobehandlung im ISW.
Nachprüfung für IT/OT, wo analog Gremiensteckbrief (STD) enthalten, insbesondere OT.
Controls gem. ISA Katalog für Betrachtung -&gt; Zweizeiler für Risikotrachtung in der RL.
Risikotabelle: Erweiterung mit Control-Nr. TISAX Katalog 6.03 
ISRA nicht nur befüllen sondern auch die Ableitungen (Maßnahmen / Umsetzung) daraus definieren und tracken sowie regelmäßiges review planen und dokumentieren
In der ISRA Richtlinie fehlt ggf. OT
Kann man nachweisen das jedes controll aus dem Katalog also jeder Punkt im ISRA betrachtet wurde. Ein satz hintzufügen das alle controlls von tisax betrachtet werden sowie die kontrollnummer aus dem katalog hinzufügen.</t>
  </si>
  <si>
    <t>Umsetzungsgegenstand:
Vervollständigung des Informationssicherheits-Risikomanagements um OT-Verantwortlichkeiten, Erweiterung ISRA um Control-Nr.-Referenzen VDA ISA 6.0.3 und expliziter Nachweis vollständiger Kontrollbetrachtung.
Prozessbezug:
VDA ISA 1.4.1; ISO/IEC 27005; BSI-Standard 200-3.
Workflow Items:
1. ISRA-Tabelle erweitern (Owner: ISB): Spalten 'VDA-Kontroll-Nr.', 'Maßnahme abgeleitet', 'Review-Datum'.
2. ISRA-Richtlinie um OT-Scope und Gremiensteckbrief ISW ergänzen.
3. Statement: 'Alle VDA-ISA-Kontrollen werden im ISRA betrachtet.'
4. Maßnahmen-Tracking + Review-Plan.
Nachweis: ISRA mit vollständigem Mapping, Review-Protokolle.
Abhängigkeiten (Detail s. Spalte N):
→ baut auf F-006/F-003; Voraussetzung für F-011, F-015, F-029, F-033</t>
  </si>
  <si>
    <t>Vorgelagert:
- Row 23 / F-006 / 1.3.1 (Asset Mgmt als Schutzobjekt-Inventar)
- Row 13 / F-003 / 1.2.2 (OT-Verantwortlichkeiten)
Nachgelagert:
- Row 17 / F-003 / 1.2.2 (IS in Projekten — Risk-Assessment)
- Row 29 / F-011 / 1.5.1 (Wirksamkeit benötigt Risikobasis)
- Row 33 / F-015 / 1.6.3 (BIA als BCM-Eingang)
- Row 47 / F-029 / 5.2.1 (Change Risk Assessment)
- Row 51 / F-033 / 5.2.5 (Vulnerability Risk Scoring)
Querverweise:
- Row 42 / F-024 / 4.1.2 (MFA-Risikoeinschätzung)
- Row 44 / F-026 / 4.2.1 (RBAC-Risikoeinschätzung)</t>
  </si>
  <si>
    <t>Policy Framework:
- RL Informationssicherheits-Risiko-Mgmt (ISRM)
- Risiko-Bewertungsmethodik mit Skala 1–5 × 1–5
- ISRA-Vorlage mit Pflichtfeld 'VDA-Control-Nr.'
Standards:
- ISO/IEC 27001:2022 §6.1.2, §6.1.3, §8.2, §8.3
- ISO/IEC 27005:2022 (Risiko-Mgmt)
- IEC 62443-3-2 (OT-Risiko-Mgmt mit Zonen/Conduits)
- VDA ISA 6.0.3 Kap. 1.4.1
Weitere Empfehlungen:
- OT-Mitwirkung im Risk-Team verbindlich (SK/PL Lead)
- Risikoregister im ISMS-Tool zentral, mit Mapping zu Findings
- Quartals-Risk-Review als Pflicht-Termin (CIO/CFO)
- Risk-Treatment-Plan (RTP) als formales Dokument je Risiko ≥ Stufe 4</t>
  </si>
  <si>
    <t>F-011</t>
  </si>
  <si>
    <t>1.5.1</t>
  </si>
  <si>
    <t>To what extent is compliance with information security ensured in procedures and processes?</t>
  </si>
  <si>
    <t>Inwieweit wird die Einhaltung der Informationssicherheit in Verfahren und Abläufen gewährleistet?</t>
  </si>
  <si>
    <t xml:space="preserve">Gibt es für die Verfahren und Abläufe Controls für eine belastbare und nachweisliche Dokumentation (e.g. gibt es einen Plan für  Kontrollgänge?). Auditprogramm mit einfließen lassen für Kontrollfokus.
Fokus ist die Umsetzung; (e.g. schaut jemand das man tatsächlich nur ins Werk/Plant kommt wie vorgeschrieben, e.g. werden dieLlieferanten bewertet wie vorgeschrieben, technische Inf.Sec. Überprüfung erfolgt durch Matrix42 im HInblick auf ...)
Existieren Überprüfungen auf die man referenzieren kann?
Neben der Dokumentation der Wirksamkeitsnachweis (wirksame Umsetzung e.g. Lieferantenbewertung) sind Anpassungen an der Dokumentation wesentlich. Betrachtungszeitraum mindestens 1 Jahr (jährliche Überprüfung und Revision). Darstellung Zeitplan für Umsetzung ist notwendig.
Was live nicht funktioniert, wurde das dann angepasst und auch in der Richtline angepasst. dafür muss es aber erstmal “live” sein. Muss mit einem Zeitplan dargestellt werden. Auch beim Patchmanagement z.B.
</t>
  </si>
  <si>
    <t>Einführung der Verifizierung durch Kontrollen und Bewertung der Umsetzung und Dokumentation als Wirksamkeitsnachweis. Auditprogramm und Control Compliance Framework kann hier helfen für den richtigen umsetzbaren Ansatz in der Verifizierung.
Betrachtungszeitrum mind. 1 Jahr für jährliche Revision und Nachweise und Wirksamkeitsanalyse.
Die Verantwortlichen müssen für die Prozesse die Nachweise liefern können. Im Umkehrschluss muss bei Auffälligkeiten auch eine Richtline und Standard angepasst werden könnne (TISAX Fokus gegeben).</t>
  </si>
  <si>
    <t>Umsetzungsgegenstand:
Control-Compliance-Framework mit Verifizierungskontrollen, Wirksamkeitsnachweisen und 12-Monats-Betrachtungszeitraum als Kern-AL3-Anforderung.
Prozessbezug:
VDA ISA 1.5.1; ISO 27001 Clause 9.1.
Workflow Items:
1. Kontrolltest-Plan je Verfahren (Owner: ISB) — z. B. Stichproben Lieferantenbewertung, Werkszugang-Test, Matrix42-Compliance-Report.
2. Integration in internes Auditprogramm.
3. Anpassungsregel: bei Befund Wirksamkeitslücke → Richtlinien-Update.
4. 12-Monats-Revisionszyklus.
Nachweis: Kontrolltest-Plan, Stichprobenprotokolle, Anpassungshistorie Policies, Zeitplan-Tabelle.
Abhängigkeiten (Detail s. Spalte N):
→ AL3-Kern; baut auf F-002/F-010/F-032; treibt ALLE Major NCs + F-012</t>
  </si>
  <si>
    <t>Vorgelagert (zwingend):
- Row 11 / F-002 / 1.2.1 (Auditprogramm)
- Row 12 / F-002 / 1.2.1 (KPIs)
- Row 28 / F-010 / 1.4.1 (Risiko-Mgmt)
- Row 50 / F-032 / 5.2.4 (Logging als Datenquelle)
Nachgelagert:
- ALLE Major-NC-Findings (Wirksamkeitsnachweis pro Control)
- Row 30 / F-012 / 1.5.2 (Review baut auf Wirksamkeitsdaten)
Querverweise:
- Row 4 / F-General (AL3-Niveau)
- Row 6 / F-General (Workflow-Wirksamkeit)
- Row 52 / F-034 / 5.2.6 (Pentest als Wirksamkeitsnachweis)</t>
  </si>
  <si>
    <t>Policy Framework:
- RL Wirksamkeitsmessung &amp; Control-Verifikation
- Control-Compliance-Framework (CCF) mit:
  · Test-Plan je Control (Frequenz, Methode, Evidenz)
  · Mapping Control → KPI → Verantwortlicher → Auditfile-Pfad
- Monats- und Quartals-Cockpit
Standards:
- ISO/IEC 27001:2022 §9.1 (Monitoring, Measurement, Analysis, Evaluation)
- ISO/IEC 27004 (ISMS-Metriken)
- ENX VDA ISA 6.0.3 — AL3 verlangt 'aktive Verifikation', nicht nur Plausibilität
Regulatorisch:
- NIS-2 Art. 21(2)(b) (Wirksamkeitsbewertung)
Weitere Empfehlungen:
- AL3-KERN: Effektivitätsnachweise pro Major-NC-Control vor Juni-Audit
- Stichprobenprüfung 10 % je Quartal
- Wirksamkeits-Reporting im Management Review verankern</t>
  </si>
  <si>
    <t>F-012</t>
  </si>
  <si>
    <t>1.5.2</t>
  </si>
  <si>
    <t>To what extent is the ISMS reviewed by an independent authority?</t>
  </si>
  <si>
    <t>Inwieweit wird das ISMS von einer unabhängigen Behörde überprüft?</t>
  </si>
  <si>
    <t>Der Review des ISMS bedetuet nicht nur durch eine bestimmte Auditinstanz. Der Review kann durch verschiedenste Nachweise dargegstellt werden.
Kundenaudits können auch verwendet werden, ISMS wurde dadruch ggf. schon  in Teile auditiert. Ggf. extern auditieren. Muss keine Organisatation/Unternehmen sein.
 AL2 Zertifizierung ; Pentesting ext. vom TÜV für Teile vom Katalog.
Nachweise für Teilüberprüfungen oder Gesamtüberprüfungen in Teilen des TISAX 6.0n Prüfkataloges. Ext. Nachweis durch einen Externen.</t>
  </si>
  <si>
    <t xml:space="preserve">Erstellung einer jährlichen ISMS Audit-Summary die man als Nachweis für den jährlichen ISMS-Audit benutzen kann. Ablage mit Nachweisen im ISMS und jährlichen 2. Sicherheitsreports per Ende Jahr.
</t>
  </si>
  <si>
    <t>Umsetzungsgegenstand:
Jährliche ISMS-Audit-Summary, die externe Nachweise (Kundenaudits, AL2-Zertifikat, Pentests durch TÜV/Externen) als unabhängige Reviews bündelt.
Prozessbezug:
VDA ISA 1.5.2; ISO 27001 Clause 9.2 + 9.3.
Workflow Items:
1. Erfassung aller externen Audits/Pentests/Kundenaudits (Owner: ISB).
2. Jährliche ISMS-Audit-Summary mit VDA-ISA-Kapitel-Mapping.
3. Halbjährlicher Sicherheitsreport an GL.
Nachweis: Audit-Summary, externe Auditberichte, Management-Review-Protokoll.
Abhängigkeiten (Detail s. Spalte N):
→ baut auf F-002/F-011/F-003 (ISB-Unabhängigkeit)</t>
  </si>
  <si>
    <t>Vorgelagert:
- Row 11 / F-002 / 1.2.1 (Auditprogramm)
- Row 29 / F-011 / 1.5.1 (Wirksamkeitsdaten)
- Row 16 / F-003 / 1.2.2 (ISB-Unabhängigkeit)
Nachgelagert:
- ISMS Management Review (jährlich)
Querverweise:
- Row 12 / F-002 / 1.2.1 (KPIs als Review-Eingang)</t>
  </si>
  <si>
    <t>Policy Framework:
- RL ISMS-Review &amp; Management-Bewertung
- Charter unabhängige Audit-Funktion (interne Revision ODER externer Reviewer)
- Jahres-Audit-Summary-Template
Standards:
- ISO/IEC 27001:2022 §9.2, §9.3
- ISO 19011:2018
- VDA ISA 6.0.3 Kap. 1.5.2
Weitere Empfehlungen:
- Rotierende Auditoren über Standorte (DE → AT → SK → PL)
- Externer Reviewer alle 3 Jahre für AL3-Konformität
- Management Review mit dokumentierten Beschlüssen (PDCA-Closure)</t>
  </si>
  <si>
    <t>F-013</t>
  </si>
  <si>
    <t>1.6.1</t>
  </si>
  <si>
    <t>To what extent are information security relevant events or observations reported?</t>
  </si>
  <si>
    <t>Inwieweit werden informationssicherheitsrelevante Ereignisse oder Beobachtungen gemeldet?</t>
  </si>
  <si>
    <t>Wie werden Ereignisse gemeldet, wer kann ein Sicherheitsvorfall melden und wie macht er das. ist das kommuniziert und ging das an alle per Schulung raus? Wie wurden die REUTIB Mitarbeiter verpflichtet relevante Ereignisse zu melden. Es muss mindestens 2 Kanäle geben, nur Tiket alleine reicht nicht. es muss eine zentrale erreichbare Telefonnummer geben. Wie ist geregelt das man die Kundenverträge einhält, in denen ist ggf. geregelt das man ein Vorfall auch an die Kunden oder andere externe stakeholder melden muss. (Drohne über Werk, oder jmd. steht am Zaun, z.b), auch für OT in der Produktionslinie -&gt; Schichtleiter.
Wo schlägt die Meldung als erstes auf, wie schnell muss reagiert werden und wer ist das dann bzw. kann er das dann richtig eintakten zu der jeweiligen richtigen Abteilung ? ( Vorfall könnte auch sein das z.b hohe Schwellwerte bei den Maschinen erreicht werden) Rauchabzug könnte auch ein Bsp. sein oder Personal macht Fotos von Zeichnungen. (Selbst mal mit der Drohne testen ob sowas aufschlagen würde)
Meldezeiten wie vorgegeben berücksichtigen, gilt alles auch für OT !
 inkl. OLAs für Melde- Weiterleitungszeiten. 
Aufgrund der Überwachung (XDR Sophos und Trashhold) gleiche Meldung als Sec.Incident.</t>
  </si>
  <si>
    <t>Anpassung und Implementierung des Incident Response Mgmt. Prozesses für REUTIB gesamt (inkl. OT). Ticketing, Telefonnummer und auch XDR Incidents berücksichtigen.</t>
  </si>
  <si>
    <t>Umsetzungsgegenstand:
Mehrkanaliges Meldewesen (Ticket + 24/7-Notrufnummer + XDR-Sophos-Alerts) inkl. Kunden-Notify-Trigger und definierter Reaktionszeiten auch für OT (Schichtleiter).
Prozessbezug:
VDA ISA 1.6.1; ISO 27001 A.5.24; NIS-2 Art. 23.
Workflow Items:
1. RL Incident Reporting (Owner: ISB).
2. Zentrale Notrufnummer (24/7) + Mailbox.
3. Integration XDR-Sophos-Alerts in Ticketing.
4. OEM-Vertragsanalyse → Kunden-Notify-Liste mit Thresholds.
5. Training aller MA (DE/AT/SK/PL).
6. Wirksamkeitstest (Drohnen-/Foto-/Zaun-Szenario).
Nachweis: RL, Trainings, Simulationsbericht, Live-Tickets.
Abhängigkeiten (Detail s. Spalte N):
→ Major NC; baut auf F-002/F-032/F-031; treibt F-014/F-015</t>
  </si>
  <si>
    <t>Vorgelagert:
- Row 10 / F-002 / 1.2.1 (Incident-Mgmt-Grundlage)
- Row 50 / F-032 / 5.2.4 (Logging als Detektionsquelle)
- Row 49 / F-031 / 5.2.3 (Malware-Schutz/MDR)
Nachgelagert:
- Row 32 / F-014 / 1.6.2 (OEM-Kommunikation)
- Row 33 / F-015 / 1.6.3 (Krise/BCM)
Querverweise:
- Row 2 / F-General (Play-Ransomware Lessons-Learned)
- Row 36 / F-018 / 2.1.3 (TTT-Phase 4 'Reagieren')</t>
  </si>
  <si>
    <t>Policy Framework:
- RL Sicherheits-Incident-Meldewesen &amp; Eskalation
- 24/7-Erreichbarkeitskonzept (interne Notrufnummer + externer SOC-Vertrag)
- IR-Klassifikationsmatrix (Severity 1-4) mit Reaktionszeiten
Standards:
- ISO/IEC 27001:2022 A.5.24-A.5.28
- ISO/IEC 27035 (vollständige Reihe)
- NIST SP 800-61r2
- VDA ISA 6.0.3 Kap. 1.6.1
Regulatorisch:
- NIS-2 Art. 23 (24h Frühwarnung / 72h Meldung / 1 Monat Abschluss)
- DSGVO Art. 33 (72h Meldung an Aufsichtsbehörde)
Weitere Empfehlungen:
- Major NC: Reaktionszeiten + Eskalationskette vor AL3-Audit dokumentiert + getestet
- Sophos XDR als Detektionsquelle in IR-Workflow integrieren
- Mitarbeiterkommunikation: Awareness-Plakate 'Wie melde ich einen Sicherheitsvorfall?' DE/EN/SK/PL</t>
  </si>
  <si>
    <t>All + GL</t>
  </si>
  <si>
    <t>F-014</t>
  </si>
  <si>
    <t>1.6.2</t>
  </si>
  <si>
    <t>To what extent are reported security events managed?</t>
  </si>
  <si>
    <t>Inwieweit werden gemeldete Sicherheitsereignisse verwaltet?</t>
  </si>
  <si>
    <t xml:space="preserve">1.6.2. haben wir mit 1.6.1 beantwortet. Verwaltung der Meldungen auch analog Kundenvertrag oder Kunden-Anforderungs-Liste. Welche Kunde will ab welchem Level von Incident informationen haben
Wer ist verantwortlich für OT und IT wenn getrennt in den Meldewegen und wie läuft analog (should) Koordination der Incidents?, inkl. physische Sicherheit (Facilitmgmt.)
</t>
  </si>
  <si>
    <t>Implementierung/Erweiterung des Incident Response Mgmt. Prozesses für OEM-Kommunikation (etc.). 
Integration in das Krisenmanagement für Entscheidung für OEM Kommunkation.
Bitte beachten: Very High Availability, bitte die Referenz betrachten.
Bitte die Vertragswerke der OEMs betrachten -&gt; Kundeninformation (Betrachtung erfolgt und in Prozessen abgebildet?)</t>
  </si>
  <si>
    <t>Umsetzungsgegenstand:
Erweiterung Incident-Management um OEM-spezifischen Kunden-Notify-Workflow und Koordination IT/OT/Facility im Krisenmanagement (Very High Availability-Referenz beachten).
Prozessbezug:
VDA ISA 1.6.2; OEM-Vertragsanforderungen; ISO 27001 A.5.5.
Workflow Items:
1. STD OEM-Kommunikation (Owner: ISB + Sales + Krisenstab).
2. Kundenmatrix: Kunde × Incident-Threshold × Notify-Frist × Kommunikationskanal.
3. Integration in Krisenstab-Entscheidungslogik.
Nachweis: STD, Kundenmatrix, Entscheidungsprotokolle aus Übung.
Abhängigkeiten (Detail s. Spalte N):
→ baut auf F-013; nutzt F-028 (Verschlüsselung)</t>
  </si>
  <si>
    <t>Vorgelagert:
- Row 31 / F-013 / 1.6.1 (Incident Meldewesen)
Nachgelagert:
- Row 33 / F-015 / 1.6.3 (Krisen-Kommunikation)
Querverweise:
- Row 2 / F-General (Play-Ransomware: OEM-Kommunikation-Lessons)
- Row 46 / F-028 / 5.1.2 (verschlüsselte Kommunikation mit OEM)</t>
  </si>
  <si>
    <t>Policy Framework:
- OEM-Incident-Kommunikationsplan (pro Großkunde)
- Vorlagen 'Initial Notification' / 'Status Update' / 'Closure Report'
- Kontaktverzeichnis OEM-Security-Teams (mit Aktualisierungsverpflichtung)
Standards:
- ISO/IEC 27001:2022 A.5.5 (Kontakt mit Behörden, Interessensvertretern)
- VDA ISA 6.0.3 Kap. 1.6.2
- TISAX 'IS-Awareness im Liefernetzwerk'
Weitere Empfehlungen:
- Pflicht-Klausel in OEM-Verträgen: Meldewege &amp; Fristen prüfen
- Krisenkommunikations-Übung mit fiktivem OEM-Szenario
- Sprachregelung mit Marketing/Legal abgestimmt</t>
  </si>
  <si>
    <t>Krisenmanagement</t>
  </si>
  <si>
    <t>F-015</t>
  </si>
  <si>
    <t>1.6.3</t>
  </si>
  <si>
    <t>To what extent is the organization prepared to handle crisis situations?</t>
  </si>
  <si>
    <t>Inwieweit ist die Organisation darauf vorbereitet, Krisensituationen zu bewältigen?</t>
  </si>
  <si>
    <t>Ab wann sprechen wir von einer Krise, was ist der Auslöser für eine Krise. Wann wird das “Team” kontaktiert und wie? Wir haben noch keine Notfall und Krisenstabsorganisation. Problem-Emergency-Crisis als Rangfolge.
Doku auch ausgedruckt vorhanden und die information wo dies gefunden werden kann. Notfall Laptop für Krisenstab. Übung, Testlauf. Mitarbeiter frage: Ab wann sprechen wir von einer Krise, wissen sie das?
Was sind die Kritischen Geschäftsprozesse und wo stehen die. Sind dort Dinge in Abhängigkeit benötigt die wir als Ersatzvorhalten (Steuerung, Ersatzteil, Switch,). Übungen!
Auslöser und Schwellwert für Krise.
Notfall- und Krisenteam Aufbau, Schulung und Planung fehlt aktuell ist aber in der Planung. Definition vom Team und Ausdrucken und Notfallnotebooks mit USB-Sticks.
Folgefragen: Top-Down Ansatz bis runter in OT für Verantwortlichkeiten mit BIA/GAP-Analyse; Ausfallkompomenten in Spare IT/OT (e.g. zentraler Switch...) -&gt; DR-Spare Systems,
Plan für Excercisees und Maßnahmen daraus.</t>
  </si>
  <si>
    <t>Prozess für Krisenmanagement anpassen/aufbauen/schulen und üben etc. (s.l.).
Wichtig; Very High Availibilty: '+ Crisis exercises and simulations involving all relevant persons, decision makers are conducted regularly. (A)</t>
  </si>
  <si>
    <t>Umsetzungsgegenstand:
Vollständiges Notfall- und Krisenmanagement (Problem-Emergency-Crisis) mit BIA, Schwellwertdefinition, Krisenstab-Organisation, Notfallausstattung und regelmäßigen Übungen — AL3-Kernanforderung (Very High Availability).
Prozessbezug:
VDA ISA 1.6.3 + 5.2.8; BSI-Standard 200-4; ISO 22301.
Workflow Items:
1. Krisenmanagement-RL (Owner: ISB + Krisenstab).
2. BIA/Gap-Analyse alle Standorte → kritische Geschäftsprozesse + Ersatzkomponenten (Switch, SPS, Ersatzteile).
3. Krisenstab-Organigramm + Schulung + Erreichbarkeitsliste.
4. Notfallpaket: Offline-Dokumentation, Notfall-Laptop, USB-Stick.
5. Jährliches Übungsprogramm (Tabletop + technische Recovery-Tests).
6. MA-Awareness 'Ab wann ist es eine Krise?'.
Nachweis: RL, BIA-Bericht, Übungsprotokolle, Trainingsnachweise.
Abhängigkeiten (Detail s. Spalte N):
→ baut auf F-013/F-010; treibt F-036/F-037 (BCM-Audit-Evidenz)</t>
  </si>
  <si>
    <t>Vorgelagert:
- Row 31 / F-013 / 1.6.1 (Incident)
- Row 28 / F-010 / 1.4.1 (Risiko/BIA als BCM-Eingang)
Nachgelagert:
- Row 54 / F-036 / 5.2.8 (BCM/DR-Tests)
- Row 55 / F-037 / 5.2.9 (Backup als Wiederanlaufgrundlage)
Querverweise:
- Row 2 / F-General (Play-Ransomware: Krise-Eskalation)
- Row 38 / F-020 / 3.1.1 (Physische Krisen)</t>
  </si>
  <si>
    <t>Policy Framework:
- RL Business Continuity Management (BCM)
- Krisenmanagement-Handbuch mit Krisenstab-Charta
- BIA (Business Impact Analysis) je Werk DE/AT/SK/PL mit RTO/RPO
- DR-Pläne je kritischem System
Standards:
- ISO 22301:2019 (BCM)
- ISO/IEC 27031 (ICT-Readiness)
- BSI-Standard 200-4 (BCM-Methodik)
- VDA ISA 6.0.3 Kap. 1.6.3
Regulatorisch:
- NIS-2 Art. 21(2)(c)
Weitere Empfehlungen:
- BCM-Integration ins ISMS (gemeinsame Audit-Evidenz für AL3)
- Krisenstab-Übung 2026 vor Hauptaudit (Tabletop)
- Alternative Standorte / Cross-Site-Backup-Strategie</t>
  </si>
  <si>
    <t>Krisenstabsorganisation und Prozess, ISB, Beteiligte</t>
  </si>
  <si>
    <t>F-016</t>
  </si>
  <si>
    <t>Human Resources</t>
  </si>
  <si>
    <t>2.1.1</t>
  </si>
  <si>
    <t>To what extent is the qualification of employees for sensitive work fields ensured?</t>
  </si>
  <si>
    <t xml:space="preserve">Inwieweit wird die Qualifikation der Mitarbeiter für sensible Arbeitsbereiche gewährleistet? </t>
  </si>
  <si>
    <t xml:space="preserve">Gibt es eine zentrale HR, wie wird der Prozess auf die Regionen runtergebrochen?
Wir wird das auf regionale HR´s runtergebrochen. Führungszeugnis, Strafregisterauszug oder Sicherheitsüberprüfung ? Wie ist es bei überlassen Mitarbeiter (Leiharbeiter) wie ist das in Thema dann in den Verträgen der “Zeitarbeitsfirma” hinterlegt. Backgroundscreening z.B
Vorgaben für Anforderungen und Evidenzen liegen in Policy vor
Spezifische Anforderungen wie beim  Strafregisterauszug etc. für B- und C-Level
 Anforderungen REUTIB inkl Geheimhaltung (NDA, Backgroundscreen für REUTIB durch Partner).
</t>
  </si>
  <si>
    <t>Aktuell existiert nur die HR Personel Safety &amp; Security Policy, Standards für regionale Anforderungen etablieren.</t>
  </si>
  <si>
    <t>Umsetzungsgegenstand:
Standortspezifische HR-Standards für Background-Checks (Führungszeugnis, Strafregisterauszug, Sicherheitsüberprüfung) inkl. Regelungen für Leiharbeiter und B-/C-Level-Funktionen.
Prozessbezug:
VDA ISA 2.1.1; ISO 27001 A.6.1.
Workflow Items:
1. STD HR-Background-Check pro Land DE/AT/SK/PL (Owner: HR + lokaler HR-Lead).
2. Erweiterung HR Personnel Safety &amp; Security Policy um Leiharbeiterregelung (Klauseln im Vertrag der Zeitarbeitsfirma).
3. NDA-Standardprozess für Onboarding (REUTIB-Backgroundscreen durch Partner).
Nachweis: HR-STD pro Standort, Stichprobe Personalakte (anonymisiert), Zeitarbeitsvertragsklauseln.
Abhängigkeiten (Detail s. Spalte N):
→ Voraussetzung für F-017, F-023, F-025, F-045</t>
  </si>
  <si>
    <t>Vorgelagert:
- keine (HR-Grundprozess)
Nachgelagert:
- Row 35 / F-017 / 2.1.2 (Arbeitsvertrag-Klauseln)
- Row 41 / F-023 / 4.1.1 (Badge-Lifecycle)
- Row 43 / F-025 / 4.1.3 (Account-Lifecycle)
- Row 63 / F-045 / 7.1.2 (Datenschutz-HR-Prozess)
Querverweise:
- Row 36 / F-018 / 2.1.3 (Schulungs-Onboarding)</t>
  </si>
  <si>
    <t>Policy Framework:
- RL HR-Sicherheit (Onboarding / Offboarding / Rollenwechsel)
- Background-Check-Verfahren je Risikoklasse (Standard / Sensitiv / Kritisch)
- Joiner-Mover-Leaver-Workflow (JML)
Standards:
- ISO/IEC 27001:2022 A.6.1, A.6.5, A.6.6
- VDA ISA 6.0.3 Kap. 2.1.1
Regulatorisch:
- DSGVO Art. 6, 9 (Background-Check)
- länderspezifisches Arbeitsrecht DE/AT/SK/PL beachten
Weitere Empfehlungen:
- Zentrale HR-Koordination mit lokalen HR-Kontakten je Werk
- Vier-Augen-Prinzip beim Offboarding
- JML-Tickets als Pflicht-Nachweis</t>
  </si>
  <si>
    <t>HR</t>
  </si>
  <si>
    <t>F-017</t>
  </si>
  <si>
    <t>2.1.2</t>
  </si>
  <si>
    <t>To what extent is all staff contractually bound to comply with information security policies?</t>
  </si>
  <si>
    <t>Inwieweit sind alle Mitarbeiter vertraglich verpflichtet, Informationssicherheitsrichtlinien einzuhalten?</t>
  </si>
  <si>
    <t>Arbeitsvertrag muss entspr. Vereinbarungen (wie Geheimhaltung beinhalten), bitte vertragliche Vorlage anschauen für PL und SK), Beispiel: External Sorting e.g. (wie sind die Verträge gestaltet für SK, ggfs. PL)</t>
  </si>
  <si>
    <t>Arbeitsvertag Vorlage bereitstellen</t>
  </si>
  <si>
    <t>Umsetzungsgegenstand:
Lokale Arbeitsvertrags-Vorlagen DE/AT/SK/PL mit IS-Pflichtklauseln (Geheimhaltung, Asset-Rückgabe, Schulungspflicht, Disziplinarverfahren).
Prozessbezug:
VDA ISA 2.1.2; ISO 27001 A.6.2.
Workflow Items:
1. Vertragsvorlagen-Review (Owner: HR + Legal + ISB).
2. Anpassung SK/PL (z. B. External Sorting).
3. Approval Legal, Roll-out HR.
Nachweis: freigegebene Vertragsvorlagen je Land, HR-Reportauszug.
Abhängigkeiten (Detail s. Spalte N):
→ baut auf F-001/F-016/F-043</t>
  </si>
  <si>
    <t>Vorgelagert:
- Row 7 / F-001 / 1.1.1 (Policy-Framework als Inhaltsquelle)
- Row 61 / F-043 / 6.1.2 (NDA-Lifecycle)
- Row 34 / F-016 / 2.1.1 (HR-Prozess)
Nachgelagert:
- Row 37 / F-019 / 2.1.4 (Remote-Work-Klauseln)
Querverweise:
- Row 9 / F-001 / 1.1.1 (Klassifikation in Klauseln)</t>
  </si>
  <si>
    <t>Policy Framework:
- Arbeitsvertrags-IS-Klauseln (Geheimhaltung, IT-Nutzung, Disziplinarmaßnahmen)
- Anlage 'IS-Verpflichtung' je Mitarbeiter
- Betriebsvereinbarungen lokal (DE/AT/SK/PL)
Standards:
- ISO/IEC 27001:2022 A.6.2, A.6.4
- VDA ISA 6.0.3 Kap. 2.1.2
Regulatorisch:
- DSGVO Art. 88 (Beschäftigtendatenschutz)
- länderspezifisches Arbeitsrecht
Weitere Empfehlungen:
- Juristische Prüfung Klauseln in 4 Sprachen / Rechtsräumen
- Disziplinar-Verfahren bei IS-Verstößen schriftlich fixieren</t>
  </si>
  <si>
    <t>F-018</t>
  </si>
  <si>
    <t>2.1.3</t>
  </si>
  <si>
    <t>To what extent is staff made aware of and trained with respect to the risks arising from the handling of information?</t>
  </si>
  <si>
    <t>Inwieweit wird das Personal über die Risiken hinsichtlich des Umgangs mit Informationen informiert und darin geschult?</t>
  </si>
  <si>
    <t>Keine Schulungen mit dem TISAX Fpkus, kein Schulungskonzept das einheitlich ist.
HR wird gefragt wer hat welche Schulung gemacht. Zeig mir wie du den neuen Mitarbeitern im Hinblick auf z.b. Compliance Themen der Informationssicherheit geschult haben oder das verhalten bei auftreten von einem Schherheitsvorfall.
Wie stellen wir sicher das die polnische Mitarbeiterin den gleichen Kenntnisstand wie die slowakische MA hat? Nachweis von der Schulung und von dem Onboarding, was wurde geschult und wer hat es gemacht? Wie stellen wir sicher das Informationen die neu geteilt wurden bei neuen Mitarbeitern direkt in das Onboarding kommen. Ggf. Schulungen trennen für User und für personen die keinen systemuser bekommen wobei das schwer ist da auch nicht user ggf. maschinen bedienen.
Schulung über jeder Richtlinie (DOS und Don'ts), Schulungskonzept, gleicher Kenntnisstand über alle Lokationen. Teilnehmerliste und Nachweise.
Bereichsbezogene Schulungen für User, Non-User, etc. -&gt; HR ist hier im Driver.
Lernakademie muss von HR getracked und adressiert werden.
Auditorfragen: Direkt an HR für Nachweise für erfolgte Schulungen und Teilnahme..</t>
  </si>
  <si>
    <t xml:space="preserve">Einheitliche Schulung/Training über Länder hinweg, und HR Governance imkl. Trainingsdokumentation und Wirksamkeitsnachweis.
 </t>
  </si>
  <si>
    <t>Umsetzungsgegenstand:
Einheitliches, mehrsprachiges, rollenbasiertes Awareness-Programm (User / Non-User / OT) mit Onboarding, Refresher, Compliance-Themen, zentraler Lernakademie und Wirksamkeitsnachweis — HR im Driver.
Prozessbezug:
VDA ISA 2.1.3; ISO 27001 A.6.3; TTT-Konzept REUTIB.
Workflow Items:
1. TTT-Konzept finalisieren und C-Level-Approval (Owner: ISB).
2. Schulungsmatrix Rolle × Standort × Sprache.
3. HR-Lernakademie als zentrales Tracking-System.
4. Trainings je Richtlinie (Do/Don't-Inhalte).
5. Phishing-/Wirksamkeitstests.
Nachweis: Trainingsmatrix, Teilnahmenachweise (HR direkt auditierbar), Wirksamkeitstests.
Abhängigkeiten (Detail s. Spalte N):
→ baut auf F-001/F-002/F-General/F-011; betrifft ALLE Process Owner</t>
  </si>
  <si>
    <t>Vorgelagert (zwingend):
- Row 7 / F-001 / 1.1.1 (Policy-Framework als Schulungsinhalt)
- Row 12 / F-002 / 1.2.1 (KPIs für Trainings-Abdeckung)
- Row 6 / F-General (Workflow-Wirksamkeit für ML3)
- Row 29 / F-011 / 1.5.1 (Wirksamkeit)
Nachgelagert:
- ALLE Findings mit Process-Owner-Verantwortlichkeit (Schulung als Wirksamkeitsnachweis)
Querverweise:
- Row 31 / F-013 / 1.6.1 (Incident-Reporting-Schulung)
- Row 17 / F-003 / 1.2.2 (Projektleiter-Schulung)
- Row 24 / F-007 / 1.3.2 (BYOD-Awareness)</t>
  </si>
  <si>
    <t>Policy Framework:
- Master-Schulungs- und Awareness-Konzept (Phase 1: Pilot Plant DE → Phase 5: Rollout SK/PL)
- Trainer-Handbuch mit modularen Pflicht-Inhalten
- Schulungs-Tracking (LMS) mit Nachweisen je Mitarbeiter
Standards:
- ISO/IEC 27001:2022 §7.2, §7.3, A.6.3
- ISO/IEC 27001 §7.4 (Communication)
- VDA ISA 6.0.3 Kap. 2.1.3
Regulatorisch:
- NIS-2 Art. 20(2) (Schulung Leitung)
- NIS-2 Art. 21(2)(g) (Cyberhygiene-Praktiken)
Weitere Empfehlungen:
- KRITISCH: C-Level-Approval-Meeting (30 Min) zeitnah ansetzen
- Backup-Plan bei Ablehnung: gestufter Rollout DE-only zur AL3-Demonstration
- Trainings-KPI ≥ 95 % Abdeckung pro Standort vor Hauptaudit
- Schulungsmaterial 4-sprachig (DE/EN/SK/PL)</t>
  </si>
  <si>
    <t>F-019</t>
  </si>
  <si>
    <t>2.1.4</t>
  </si>
  <si>
    <t>To what extent is mobile work regulated?</t>
  </si>
  <si>
    <t>Inwieweit ist mobile Arbeit reguliert?</t>
  </si>
  <si>
    <t>Beispiel auf Geschäftsreisen: Wie ist die Vorgabe wenn du in ein kritischen Land wie China reist. Gilt inzwischen auch schon für USA. Mitarbeiter dürfen nur ins Homeoffice nach Schulung der Richtlinie. Diese muss auch von Mitarbeiter unterschrieben werden.
Sind dem Mitarbeiter die absuluten “no-Go´s” klar? Und könnten einige davon aufzählen? Beispiel: es dürfen keine cloud dienste verwendet werden aber verschicken dann die Schicht Pläne untereinander per WhatsApp. Ist Verständnis z.B. dafür da was “cloud” bedeutet?
Anlehnung an Diskussion vom 20.4.26 im StageReview (Drucken im HomeOffice);
Reisetätigkeiten und Bitlocker (Device Encryption);
Richtlinie für Remote Work inkl. Training (aktuell im Asset Mgmt. Policy) und vom MA unterzeichnet im Arbeitsvertrag (beinhaltet). -&gt; Internal Awareness</t>
  </si>
  <si>
    <t>Remote Working Policy erstellen, inklusive Standards für Regionen und der Vorgaben auch für HR.
Device Encryption und Training/Schulung der MA durch HR, inkl. Fokus für No-Go's</t>
  </si>
  <si>
    <t>Umsetzungsgegenstand:
Dedizierte Remote-Work-Policy inkl. Reiserichtlinien (kritische Länder CN/USA), Drucken im Home-Office, Bitlocker/Device Encryption, unterschriebener MA-Verpflichtung und No-Go-Awareness (z. B. Cloud-Versand von Schichtplänen via WhatsApp).
Prozessbezug:
VDA ISA 2.1.4; ISO 27001 A.6.7, A.7.9.
Workflow Items:
1. RL Remote Work (Owner: ISB + HR).
2. STD Reisesicherheit (Owner: HR + Legal): Gerätekonfiguration, Datenklassifikation, VPN-Pflicht.
3. Device-Encryption-Standard (Bitlocker) + Compliance-Check.
4. Awareness-Modul 'No-Go-Liste'.
5. Unterschriebene MA-Verpflichtung im Arbeitsvertrag.
Nachweis: RL, STD, unterschriebene Verpflichtungen, Compliance-Reports.
Abhängigkeiten (Detail s. Spalte N):
→ baut auf F-007/F-022/F-017; treibt F-024/F-026</t>
  </si>
  <si>
    <t>Vorgelagert:
- Row 24 / F-007 / 1.3.2 (Private Geräte)
- Row 40 / F-022 / 3.1.4 (Mobile Geräte)
- Row 35 / F-017 / 2.1.2 (Arbeitsvertrag-Klauseln)
Nachgelagert:
- Row 42 / F-024 / 4.1.2 (MFA für Remote)
- Row 44 / F-026 / 4.2.1 (Konditionaler Zugriff)
Querverweise:
- Row 9 / F-001 / 1.1.1 (Klassifikation auf Reisen)</t>
  </si>
  <si>
    <t>Policy Framework:
- RL Mobile Work / Remote Work / Geschäftsreisen
- Sichtschutz-Verfahren (z. B. Bildschirmfilter Pflicht in öffentlichen Räumen)
- Reise-Briefing für sensitive Auslandsreisen (Hochrisiko-Länder)
Standards:
- ISO/IEC 27001:2022 A.6.7 (Remote Working)
- BSI Baustein SYS.4.5 (Mobile Devices)
- VDA ISA 6.0.3 Kap. 2.1.4
Weitere Empfehlungen:
- Conditional Access für Geo-Risikoländer aktivieren
- VPN-Pflicht außerhalb des Unternehmensnetzwerks
- Awareness-Modul Reisen (TTT-Phase 2)</t>
  </si>
  <si>
    <t>F-020</t>
  </si>
  <si>
    <t>Physical Security</t>
  </si>
  <si>
    <t>3.1.1</t>
  </si>
  <si>
    <t>To what extent are security zones managed to protect information assets?</t>
  </si>
  <si>
    <t>Inwieweit werden Sicherheitszonen verwaltet, um Informationsressourcen zu schützen?</t>
  </si>
  <si>
    <t>Können die Sicherheitszonen Gebäude Layout gezeigt werden und ist dieser aktuell? Wenn der Auditor in eine “rote” zone gehen würde, würde das gehen oder wie ist der Ablauf. Beispiel auch anhand Graz. Besucherregelung? Sobald im Büro dann im Entwicklungsbereich. Personal, die Management Bereiche, ggf. Vertrieb da wo Angebote liegen sowie die Serveräume.
REUTIB benötigt  für jeden Standort ein Sicherheitskonzept, egal wie groß. Kann die Türe offen gelassen werden, wenn ja gibt es ein Alarm?  
Wer verwaltet die Zugangs-Chips. Wievile Zugangs-Chips / Schlüssel wurden ausgegebe, die die Türe öffnen können. Was passiert wenn ein Chip/Badge verloren geht? Wer meldet wohin und ist sichergestellt das dieser Chip unverzüglich deaktiviert wird. Kann das Facility Mgmt in den Raum und wenn dieser extern ist, gibt es ein Vertrag und eine Regelung über den Zutritt?
Wie wird sichergestellt das vertrauliche Meetings nicht von anderen Mitbekommen werden auch in Bezug auf mithören oder durch eine Scheibe schauen (e.g. Graz Hauptraum -&gt; Glasinnenfenster. Selbst wenn es um Entwicklungsdiskussionen geht
Netzwerkkomponenten müssen geschützt werden und dürfen nicht offen zugänglich sein in (e.g.) Meetingräumen oder Druckbereichen.</t>
  </si>
  <si>
    <t>Erstellung und Etablierung eines Sicherheitszonenkonzeptes Facility Mgmt. Physische Sicherheit und HR. Unterscheidung im Zutritt für Zonen, Serverräume, Development (wenn isoliert), Zutrittsabsicherung (e.g. Graz), Thema Besucherregelung, SK und PL zu prüfen. 
Fragen (e.g. für Graz): Kann die Zugangstüre theoretisch offen bleiben?, Alarmauslösung bei offener Türe, Share Environment (Graz): Zentrales Facilimgmt. und Prozess für Verwaltung der Chips (Prozess), Bischofshofen: Div. Türen, Zugriff auf Daten und Whiteboard im Eingangsraum, Organisatorische Vorgaben, Darstellung über Facilitmgmt.
Sicherheitszone Graz muss beschrieben sein, e.g. wenn keine Person im Raum ist. 
Sicherheitskonzept pro Standort
Erweiterung des Zonenkonzeptes für jeden Standort (!)
Drucker in Serverraum (no go)
Besprechungen mit  Engineeringdaten für Confidential Dokumente nur in abhörsicheren Räumen die geschlossen sind.</t>
  </si>
  <si>
    <t>Umsetzungsgegenstand:
Sicherheitszonen-Konzept je Standort (DE/AT/SK/PL) inkl. Zonen-Layout, Zugangslogik, Besucherregelung, Chip-/Schlüsselverwaltung, akustischer/visueller Vertraulichkeitsschutz und Schutz Netzwerkkomponenten.
Prozessbezug:
VDA ISA 3.1.1; ISO 27001 A.7.1–A.7.6; OEM-Prototype-Protection.
Workflow Items:
1. Zonenkonzept pro Standort (Owner: ISB + Facility + Plant Manager).
2. Chip-/Schlüssel-Verwaltungsprozess (Ausgabe, Verlust, Rückgabe).
3. Alarm-/Türkontrolllogik bei offener Tür.
4. Besucherregelung mit Begleitpflicht.
5. Glaswand-/Sicht-/Akustikschutz für vertrauliche Räume (z. B. Graz Hauptraum).
6. Drucker aus Serverräumen entfernen (No-Go).
Nachweis: Zonenpläne je Standort, FM-Prozessdoku, Chip-Audit, Begehungsprotokoll.
Abhängigkeiten (Detail s. Spalte N):
→ Major NC; baut auf F-006; treibt F-023/F-035</t>
  </si>
  <si>
    <t>Vorgelagert:
- Row 23 / F-006 / 1.3.1 (Asset-Lokationen als Schutzobjekte)
Nachgelagert:
- Row 41 / F-023 / 4.1.1 (Badge-System für Zonenzugang)
- Row 53 / F-035 / 5.2.7 (Netzwerk-Zonen analog zu Phys.)
Querverweise:
- Row 33 / F-015 / 1.6.3 (BCM: physische Resilienz)
- Row 14 / F-003 / 1.2.2 (OT-Schutzzonen)</t>
  </si>
  <si>
    <t>Policy Framework:
- RL Physische Sicherheit &amp; Zonierungskonzept
- Werks-Layout je Standort mit Zonen-Tagging (Public / Operational / Sensitive / High-Sec)
- Besucherregelung mit Begleitpflicht
Standards:
- ISO/IEC 27001:2022 A.7.1-A.7.4, A.7.6
- BSI Baustein INF.1 (Allgemeines Gebäude)
- VDA Prototypenschutz-Leitfaden (mind. 4-Zonen-Modell)
- VDA ISA 6.0.3 Kap. 3.1.1
Weitere Empfehlungen:
- Major NC: Layout-Pläne mit Zonen-Markierung als auditreife Nachweise (alle 4 Standorte)
- Foto-Dokumentation Zugangskontrollen je Werk
- Begehung mit Auditor in der Vor-Audit-Phase</t>
  </si>
  <si>
    <t>ISB, Plant Manager, Facility Mgmt.</t>
  </si>
  <si>
    <t>F-021</t>
  </si>
  <si>
    <t>3.1.3</t>
  </si>
  <si>
    <t>To what extent is the handling of supporting assets managed?</t>
  </si>
  <si>
    <t>Inwieweit wird der Umgang mit unterstützenden Vermögenswerten verwaltet?</t>
  </si>
  <si>
    <t>Entsorgung von Dokumenten (Archiv) und Datenträger und gibt es Prüfprotokoll und Entsorgungsprotokolle, was wurde entsorgt? Wer sind die externen Entsorger? Reisswolf GmbH (DE)
DE: Reisswolf Unternehmen beauftragt durch REUTIB Papierdaten, aktuell n.b. für PL, SK, AT
Umsetzung analog: (e.g. ISO 21964, at least Security Level 4)</t>
  </si>
  <si>
    <t>Disposal Prozess für "Papier" und Inf. Assets mit nachweisen für Entsorgung (ext. / int.). 
Klärung für DE -&gt; Reisswolf, offene Klärung für AT, SK, PL
Wichtig: Asset Klassifizierung -&gt; e.g. Jahressteuer REUTIB
Betrachtung Asset Mgmt. &amp; Classification Policy für Anwendbarkeit, Aufbewarungsfrist, ggfs. Standardvorgaben für Regionen. Beispiel: Entsorgung Dokumente HR SK, Archive, Aservatenkammer etc., Buchhaltung Leutenbach, Vertrieb &amp; Purchaising und PMO.
'+ Supporting assets are protected. Disposal of supporting assets is conducted in accordance with one of the relevant standards (e.g. ISO 21964, at least Security Level 4). (C)</t>
  </si>
  <si>
    <t>Umsetzungsgegenstand:
Standardisierung der sicheren Entsorgung von Papier und Datenträgern nach ISO 21964 (mind. Security Level 4) für alle Standorte inkl. Aufbewahrungsfristen und Entsorgungsprotokolle.
Prozessbezug:
VDA ISA 3.1.3 + 5.3.3; ISO 27001 A.7.10/A.7.14; ISO 21964.
Workflow Items:
1. STD Disposal (Owner: ISB + Facility).
2. Dienstleisterauswahl AT/SK/PL analog Reisswolf (DE).
3. Entsorgungsprotokoll-Template + Aufbewahrungsfristen-Mapping (Steuer, HR, Engineering, PMO).
4. Asset-Klassifizierung als Eingangsfilter.
Nachweis: STD, Dienstleisterverträge AT/SK/PL, Entsorgungsprotokolle (Stichprobe).
Abhängigkeiten (Detail s. Spalte N):
→ baut auf F-006/F-008; treibt F-040; SK/PL Lücke schließen</t>
  </si>
  <si>
    <t>Vorgelagert:
- Row 23 / F-006 / 1.3.1 (Asset-Lifecycle)
- Row 25 / F-008 / 1.3.3 (externe IT-Disposal)
Nachgelagert:
- Row 58 / F-040 / 5.3.3 (Cloud-Disposal)
Querverweise:
- Row 9 / F-001 / 1.1.1 (Klassifikation als Vernichtungs-Trigger)</t>
  </si>
  <si>
    <t>Policy Framework:
- RL Datenträger- und Dokumentenentsorgung
- Vernichtungsklassen je Klassifikation (Stufe P-4 bis P-7 / O-5 nach DIN 66399)
- Vernichtungsprotokoll als Pflicht-Nachweis
Standards:
- ISO/IEC 27001:2022 A.7.10, A.7.14
- ISO/IEC 21964 / DIN 66399 (Vernichtung)
- NIST SP 800-88 (Media Sanitization)
- VDA ISA 6.0.3 Kap. 3.1.3
Weitere Empfehlungen:
- Bestehende DE-Lösung (Reisswolf) auf AT/SK/PL erweitern
- Lokale Dienstleister mit ISO-21964-Zertifizierung wählen
- Quartals-Audit Disposal-Quittungen</t>
  </si>
  <si>
    <t>F-022</t>
  </si>
  <si>
    <t>3.1.4</t>
  </si>
  <si>
    <t>To what extent is the handling of mobile IT devices and mobile data storage devices managed?</t>
  </si>
  <si>
    <t>Inwieweit wird der Umgang mit mobilen IT-Geräten und mobilen Datenspeichergeräten verwaltet?</t>
  </si>
  <si>
    <t xml:space="preserve">Können Unternehmensdaten auf privaten Geräten gespeichert werden? Sind die Assets (Geräte) registriert, die verwendet werden können? Funktionier die USB Schnittstelle? Nicht freigegebene Drucker sperren?! (geht das technisch überhaupt).
Wenn wir die Geräte nicht registrieren können (private) dann dürfen keine Zugänge von nicht registrierter Geräten auf Unternehmensdaten möglich sein. (O365)
Einstandsfrage: Können Unternehmensdaten auf Geräten enthalten sein? Wenn neine: Verwendung eines MDM, bzw. sind die Geräte registriert, VPN, funktioniert die USB Schnittstelle. USB-Schnittstellen funktionieren nur für normale USB-Devices außer USB-Sticks.
Zugriff nur über Registerierung des Assets -&gt; aktuell nicht erfüllt, (aktuell der Fall bei privaten Assets),
 </t>
  </si>
  <si>
    <t>Anmerkung: Nicht freigegeben Drucker sperren (ist das umsetzbar?).
Asset Klassifzierungspolicy beachten für Vorgaben (Streng- und Vertraulich)</t>
  </si>
  <si>
    <t>Umsetzungsgegenstand:
Sicherstellung, dass Unternehmensdaten ausschließlich auf registrierten Geräten verarbeitet werden; technische Sperrung nicht freigegebener Drucker und USB-Sticks; Bezug Asset-Klassifizierungs-Policy.
Prozessbezug:
VDA ISA 3.1.4; ISO 27001 A.7.9, A.8.7.
Workflow Items:
1. MDM/Intune-Compliance-Policy (Owner: IT-Leitung).
2. Conditional Access: Block O365 für nicht registrierte Geräte.
3. USB-Storage-Block (außer freigegebene Wechselmedien) via Endpoint-Policy.
4. Druckerfreigabe-Liste (Print-Server-Whitelist).
Nachweis: MDM-Reports, CA-Policy-Export, Endpoint-Konfigurationsexport.
Abhängigkeiten (Detail s. Spalte N):
→ baut auf F-006; treibt F-019/F-007/F-024</t>
  </si>
  <si>
    <t>Vorgelagert:
- Row 23 / F-006 / 1.3.1 (Asset-Mgmt: Mobile als Asset)
Nachgelagert:
- Row 37 / F-019 / 2.1.4 (Remote Work)
- Row 24 / F-007 / 1.3.2 (Private vs. Unternehmensgerät)
- Row 42 / F-024 / 4.1.2 (MFA für mobile)
Querverweise:
- Row 49 / F-031 / 5.2.3 (Mobile-Malware-Schutz)</t>
  </si>
  <si>
    <t>Policy Framework:
- RL Mobile Geräte / MDM-Policy
- Verfahren bei Verlust/Diebstahl (Remote-Wipe-Pflicht)
- Geräte-Issue-Prozess mit Übergabeprotokoll
Standards:
- ISO/IEC 27001:2022 A.7.9, A.8.1
- BSI Baustein SYS.4.5
- VDA ISA 6.0.3 Kap. 3.1.4
Weitere Empfehlungen:
- Intune/MDM-Compliance-Reporting als KPI
- Verschlüsselungs-Pflicht (Geräte + SD-Karte)
- Awareness Reise-Briefing</t>
  </si>
  <si>
    <t>IT, ISB</t>
  </si>
  <si>
    <t>F-023</t>
  </si>
  <si>
    <t>Identity and Access Management</t>
  </si>
  <si>
    <t>4.1.1</t>
  </si>
  <si>
    <t>To what extent is the use of identification means managed?</t>
  </si>
  <si>
    <t>Inwieweit wird die Verwendung von Identifikationsmitteln verwaltet?</t>
  </si>
  <si>
    <t>Welche system oder Schlüssel bekomme ich um zu meinem Arbeitsplatz zu kommen. Gilt dieser Zugang dann ewig oder nur für bestimmten Zeitraum und wir reviewed? Kein Lifecycle! spätestens alle 2 Jahre muss bei der HR der Zugang erneuert werden. HR trackt dies nachweislich. Bei Leiharbeiter oder befristeten Arbeitsverträge, ggf. direkt an Vertragsende knüpfen sodas der Zugang automatisch abläuft. Es muss beschrieben und dem MA klar sein was zu tun ist wenn er den Wer ist freigeschalten für die sensiblen Bereiche und zeige mir das in einem tool. Beispiel. türe 23, wer darf alles rein? Wie ist die Rückverfolgbarkeit, wann hat wer, welche Zugriffe bekommen und wurden entfernt.
Fokus: Physische Sicherheit für Arbeitsbereich, Zutrittsprozess in HR für Werksgelände, 
Automatischer Ablauf vom Badge und/oder Schlüssel fehlt und muss implementiert, Leiharbeiter gleiche Prozedur für Ablauf Arbeitsvertrag (Befristete Arbeitsverträge), 
Gibt es eine klare Beschreibung wenn der MA den Chip/Schlüssel verliert? -&gt; Überlegung Teil der HR-Policy auch für MA Onboarding und Information.
Bei physischen Schlüssel gleiche Vorgangsweise für unverzügliche Verlustanzeige.
Auditorfrage: Wer darf in Türe No NN und wo ist der Prozess abgebildet (Workflow mit Klara besprechen) -&gt; Rückverfolgbarkeit</t>
  </si>
  <si>
    <t>2 Jahre Lifecycle für Badget auch für Schlüssel</t>
  </si>
  <si>
    <t>Umsetzungsgegenstand:
Lifecycle-Management für physische Identifikationsmittel (Badge/Schlüssel) inkl. 2-Jahres-Renewal, Befristungs-Sync mit Vertragsende, Verlustprozess und Rückverfolgbarkeit.
Prozessbezug:
VDA ISA 4.1.1; ISO 27001 A.5.16.
Workflow Items:
1. STD Badge/Key-Lifecycle (Owner: HR + Facility + ISB).
2. HR-Trigger: befristete Verträge / Leiharbeiter → automatischer Badge-Expiry.
3. Verlustprozess mit unverzüglicher Deaktivierung + Audit-Trail.
4. Workflow Klara: 'Wer darf Türe NN' → Rückverfolgbarkeit.
Nachweis: STD, Lifecycle-Reports, Verlust-Tickets, Zutrittsmatrix.
Abhängigkeiten (Detail s. Spalte N):
→ baut auf F-016/F-020; analog zu F-025</t>
  </si>
  <si>
    <t>Vorgelagert:
- Row 34 / F-016 / 2.1.1 (HR-JML-Prozess)
- Row 38 / F-020 / 3.1.1 (Zonierung)
Nachgelagert:
- Row 43 / F-025 / 4.1.3 (Account-Lifecycle analog)
Querverweise:
- Row 16 / F-003 / 1.2.2 (Verantwortlichkeit Sicherheitsdienst)</t>
  </si>
  <si>
    <t>Policy Framework:
- RL Physischer Zugriff &amp; Badge-Mgmt
- Badge-Lifecycle (Antrag → Ausstellung → Anpassung → Rückgabe)
- Besucherausweis-Verfahren
Standards:
- ISO/IEC 27001:2022 A.7.2, A.7.6
- VDA Prototypenschutz-Leitfaden
- VDA ISA 6.0.3 Kap. 4.1.1
Weitere Empfehlungen:
- Zonenrechte pro Rolle definiert (RBAC für Zutritt)
- Quartals-Audit aktive Badges vs. aktive Mitarbeiter
- Berechtigungs-Review bei Rollenwechsel innerhalb 7 Tagen</t>
  </si>
  <si>
    <t>IT, OT, ISB</t>
  </si>
  <si>
    <t>F-024</t>
  </si>
  <si>
    <t>4.1.2</t>
  </si>
  <si>
    <t>To what extent is the user access to IT services and IT systems secured?</t>
  </si>
  <si>
    <t>Inwieweit ist der Zugang des Nutzers zu IT-Diensten und IT-Systemen gesichert?</t>
  </si>
  <si>
    <t>Wo kein MFA -&gt; Frage: Sind dort vertrauliche Informationen hinterlegt.
Wenn mit gleichem Account in der Erstanmeldung MFA erfolgt und gleicher Account im Folgesystem ohne MFA, dann gilt der MFA von der Erstanmeldung.
Brute Force e.g. nur bei ext. Zugriff und vorher MFA ?!
Digital Wallet (Passwort Tresor im Einsatz), Nachweis und lokal verfügbarer Tresor, Training?
Umsetzung für OT?</t>
  </si>
  <si>
    <t>Umsetzung OT</t>
  </si>
  <si>
    <t>Umsetzungsgegenstand:
Vollständige MFA-Abdeckung für Systeme mit vertraulichen Informationen mit dokumentierter Risikobewertung für nicht-MFA-fähige (insbes. OT-)Systeme; Etablierung Passwort-Tresor mit Awareness.
Prozessbezug:
VDA ISA 4.1.2; ISO 27001 A.8.5.
Workflow Items:
1. MFA-Coverage-Matrix (Owner: IT + ISB).
2. ISRA-Eintrag pro nicht-MFA-System inkl. kompensierender Kontrollen.
3. Brute-Force-Schutz für externe Zugriffe.
4. Passwort-Tresor-Roll-out + Training.
5. OT-spezifische Authentifizierung (z. B. Jump-Host mit MFA-Vorlagerung).
Nachweis: MFA-Matrix, ISRA, Trainingsnachweis.
Abhängigkeiten (Detail s. Spalte N):
→ baut auf F-010/F-001; treibt F-007/F-019/F-026/F-029</t>
  </si>
  <si>
    <t>Vorgelagert:
- Row 28 / F-010 / 1.4.1 (Risiko-Mgmt: MFA-Erfordernis je Schutzbedarf)
- Row 9 / F-001 / 1.1.1 (Klassifikation als MFA-Trigger)
Nachgelagert:
- Row 24 / F-007 / 1.3.2 (private Geräte → MFA)
- Row 37 / F-019 / 2.1.4 (Remote → MFA)
- Row 44 / F-026 / 4.2.1 (PAM-MFA)
- Row 47 / F-029 / 5.2.1 (Change-Approval-MFA)
Querverweise:
- Row 22 / F-005 / 1.2.4 (externe Zugriffe)</t>
  </si>
  <si>
    <t>Policy Framework:
- RL Authentifizierung &amp; Identitätsmanagement
- MFA-Pflicht-Matrix je Schutzbedarf (Standard / Privileged / Cross-Border)
- Ausnahme-Workflow bei Nicht-MFA-fähigen Systemen (kompensierende Maßnahme)
Standards:
- ISO/IEC 27001:2022 A.5.16, A.5.17, A.8.5
- NIST SP 800-63B (AAL2/AAL3)
- VDA ISA 6.0.3 Kap. 4.1.2
Weitere Empfehlungen:
- MFA-Coverage als monatliches KPI
- Phishing-resistente MFA (FIDO2) für privilegierte Konten
- OT-Systeme ohne MFA: kompensierende Bastion-Host-Lösung</t>
  </si>
  <si>
    <t>F-025</t>
  </si>
  <si>
    <t>4.1.3</t>
  </si>
  <si>
    <t>To what extent are user accounts and login information securely managed and applied?</t>
  </si>
  <si>
    <t>Inwieweit werden Benutzerkonten und Login-Informationen sicher verwaltet und angewendet?</t>
  </si>
  <si>
    <t>Was bedeutet das in der Umsetzung für OT?
Verwendbarkeit des Shared Account nur intern verwendbar oder auch von Außen (mit Zugriff) ?
IT/OT Partner Zugriff auf Shared Accounts? (prüfen, nicht zulässig)
Überprüfung ob Accounts noch funktionieren, oder deaktiviert, für LP
Minimaler Zugriff: Def. Zugriffsmatrix über Line
Wie kommt der MA zum Benutzeraccount?  (gegeben im HR Joiner Prozess)
Ext. MA -&gt; Gleicher Account wie Interner, oder anderer Bezeichnung, 
Klassifizierung von ext. MA, 1. Teamviewer, 2. User und Gerät, 3. Int. zu Ext. MA.
Überlegung: Bezeichnung EXT in der Mail-Adresse (interessant für OEMs).</t>
  </si>
  <si>
    <t>Umsetzung OT, Least Privil./Need-to-know Prinzip Umsetzung, Howto Aufbau für Teamleads etc.
Bezeichnung EXT in der Mail-Adresse (interessant für OEMs).</t>
  </si>
  <si>
    <t>Umsetzungsgegenstand:
Verbot bzw. strikte Kontrolle von Shared Accounts; Kennzeichnung externer MA-Accounts ('EXT' in UPN/Mail); Least-Privilege/Need-to-Know-Umsetzung inkl. Zugriffsmatrix; OT-Account-Lifecycle.
Prozessbezug:
VDA ISA 4.1.3; ISO 27001 A.8.2, A.5.18.
Workflow Items:
1. Account-Standard (Owner: IT + ISB).
2. Externe MA: UPN-/Mail-Konvention ext.vorname.nachname@reutib.com.
3. Zugriffsmatrix je Line/Rolle.
4. Disable-Prozess für nicht genutzte Accounts (z. B. nach 90 Tagen).
5. Howto/Standard für Team-Leads.
Nachweis: Account-Audit-Report, UPN-Liste, Zugriffsmatrix.
Abhängigkeiten (Detail s. Spalte N):
→ baut auf F-005/F-023/F-016; treibt F-026</t>
  </si>
  <si>
    <t>Vorgelagert:
- Row 22 / F-005 / 1.2.4 (externe Zugriffe)
- Row 41 / F-023 / 4.1.1 (Badge-Lifecycle analog)
- Row 34 / F-016 / 2.1.1 (HR-JML)
Nachgelagert:
- Row 44 / F-026 / 4.2.1 (RBAC/PAM)
Querverweise:
- Row 50 / F-032 / 5.2.4 (Account-Logging)</t>
  </si>
  <si>
    <t>Policy Framework:
- RL Account Management &amp; EXT-Kennzeichnung externe Konten
- JML-Workflow IT-Account (Joiner/Mover/Leaver)
- Naming Convention: EXT_&lt;Vendor&gt;_&lt;User&gt;
Standards:
- ISO/IEC 27001:2022 A.5.16, A.5.18
- VDA ISA 6.0.3 Kap. 4.1.3
Weitere Empfehlungen:
- Quartals-Account-Recertification (auch OT-Accounts)
- Service-Accounts mit Owner und Rotation
- Stale-Account-Detection (&gt;90 Tage inaktiv)</t>
  </si>
  <si>
    <t>F-026</t>
  </si>
  <si>
    <t>4.2.1</t>
  </si>
  <si>
    <t>To what extent are access rights assigned and managed?</t>
  </si>
  <si>
    <t>Inwieweit werden Zugriffsrechte zugewiesen und verwaltet?</t>
  </si>
  <si>
    <t>Wer hat welche Berechtigungen, wer gibt es frei? Es ist egal ob OT oder File oder auf Anwendungsebene. Wer überprüft und wie ist sichergestellt das es abläuft bzw. bei Änderungen mehr oder weniger Rechte bekommt. 
Kann z.B. die HR im ERP Kundeninformationen oder Rechnungen einsehen? 
Wir müssen auch extrem auf die Projekte achten, wie ist es mit zentralen Projektordnern und kann es sein das jemand auch noch nach 3 Jahren Zugriff auf die Ordner hat?
Wenn z.b. auf Teams share einladungen verschickt werden, bleibt das dann für immer?
Wer ist der Verantwortliche von welchem System und wie bekommt er Änderungen in Bezug auf Rechte mit oder stellt den request?
Role-based authorization (RBAC)
Privileged Access Management (PAM)
Just-in-Time / Just-Enough Access (elevated rights only for short periods, e.g., Local Admin for 8 hours)
Lifecycle-based authorization control
Info: Auditoren schauen hauptsächliche auf Dateien und Ordnerebene und Projektorganissation und der Zugriffsrechte (e.g. Teams f. Channelzugriffe etc.)</t>
  </si>
  <si>
    <t xml:space="preserve">
Implementierung Approval ISB für Approval von Zugriffsrechten.
Umsetzung Workflow für den Verantwortlichenn SW/Tool Inhaber bei Verteilung von Rollen und Rechten -&gt; wie ist der ISB involviert. 
</t>
  </si>
  <si>
    <t>Umsetzungsgegenstand:
Rollenbasiertes Berechtigungsmodell (RBAC) mit Privileged Access Management (PAM) und Just-in-Time-Elevation, ISB-Approval-Workflow und Lifecycle-Kontrolle insbes. für Datei-/Ordner- und Projektberechtigungen (Teams-Channels).
Prozessbezug:
VDA ISA 4.2.1; ISO 27001 A.5.15–A.5.18, A.8.2.
Workflow Items:
1. RBAC-Konzept (Owner: ISB + IT) je Anwendung.
2. PAM-Tool-Auswahl + JIT-Elevation (z. B. Local-Admin 8h-Fenster).
3. Approval-Workflow: System-Owner → ISB → IT.
4. Quartalsmäßiges Berechtigungs-Recertification (Projekte/Teams).
5. Audit-Trail für Auditor-Stichprobe (Dateien/Ordner/Teams-Channels).
Nachweis: RBAC-Konzept, PAM-Logs, Recertification-Berichte.
Abhängigkeiten (Detail s. Spalte N):
→ baut auf F-010/F-025; treibt F-005/F-029</t>
  </si>
  <si>
    <t>Vorgelagert:
- Row 28 / F-010 / 1.4.1 (Risiko-basiert)
- Row 43 / F-025 / 4.1.3 (Account-Mgmt)
Nachgelagert:
- Row 22 / F-005 / 1.2.4 (externe Zugriffe → JIT/PAM)
- Row 47 / F-029 / 5.2.1 (Change mit PAM)
Querverweise:
- Row 42 / F-024 / 4.1.2 (MFA für privilegierte Konten)</t>
  </si>
  <si>
    <t>Policy Framework:
- RL Berechtigungsmanagement (RBAC + PAM + JIT)
- Berechtigungsmodell-Doku je Anwendung (Rollen-Matrix)
- Privilege Access Workflow (Antrag + Approval + Audit)
Standards:
- ISO/IEC 27001:2022 A.5.15, A.5.16, A.5.18, A.8.2, A.8.3, A.8.18
- NIST SP 800-53 AC-2, AC-5, AC-6
- IEC 62443-3-3 SR 2.1 (OT-Zugriffe)
- VDA ISA 6.0.3 Kap. 4.2.1
Weitere Empfehlungen:
- PAM-Tool-Auswahl (BeyondTrust / CyberArk / Delinea)
- JIT-Default für admins (Standzeit ≤ 8h)
- Session-Recording als Pflicht für externe + privilegierte Sessions</t>
  </si>
  <si>
    <t>F-027</t>
  </si>
  <si>
    <t>IT(OT) Security / Cyber Security</t>
  </si>
  <si>
    <t>5.1.1</t>
  </si>
  <si>
    <t>To what extent is the use of cryptographic procedures managed?</t>
  </si>
  <si>
    <t>Inwieweit wird der Einsatz kryptografischer Verfahren gesteuert?</t>
  </si>
  <si>
    <t>wie wird sichergestellt das Verschlüsselung anhand der Klassifizierung stattfindet?
 wie stellen wir ein Notfallprozess dar zur Wiederherstellung
wo beziehen wir Zertifikate und wo setzten wir überall Zertifikate ein. Wer ist für die Zertifikate verantwortlich. CA-ROOT
Bank- USB Stick- unterschriftsdatei ist ggf. sogar in der cloud
Wer ist die CA-Root, woher kommen die Zertifikate und wie werden die Zertifikate in welchem Prozess erneuert. Halb- und/oder Vollautomatische CA -Root mit Revoking-List.
Wie sieht der Prozess aus und die Nachweise für Umsetzung für die IT.
Umsetzung in OT J/N für Certificate Handling.</t>
  </si>
  <si>
    <t>Siehe dazu die Ausführungen ENX im Screenshot  - 2 Auditplanungen (IT und OT)
ISB -&gt; Sascha Pulver für Zertifikats-Fokus</t>
  </si>
  <si>
    <t>Umsetzungsgegenstand:
Durchgängiges Kryptografie- und Zertifikatsmanagement mit CA-Root-Festlegung, Revocation-List, Lifecycle-Automation, Notfall-Wiederherstellungs-Prozess und getrennter Auditplanung IT/OT.
Prozessbezug:
VDA ISA 5.1.1; ISO 27001 A.8.24.
Workflow Items:
1. RL Kryptografie &amp; Zertifikate (Owner: ISB + IT-Lead S. Pulver).
2. Inventar aller Zertifikatseinsätze (HW, SW, Bank-USB, Cloud-Signatur, OT).
3. CA-Root-Konzept: intern vs. extern, Revocation, Renewal-Automation.
4. Notfall-Schlüsselwiederherstellung (Key Escrow).
5. Trennung Auditplanung IT/OT.
Nachweis: RL, Zertifikats-Inventar, Renewal-Protokolle, Notfalltest-Bericht.
Abhängigkeiten (Detail s. Spalte N):
→ Major NC + Krit. Prio; baut auf F-006/F-010/F-001; treibt F-028/F-024/F-026/F-037/F-041</t>
  </si>
  <si>
    <t>Vorgelagert:
- Row 23 / F-006 / 1.3.1 (Asset Mgmt — Krypto-Assets)
- Row 28 / F-010 / 1.4.1 (Risiko-Bewertung)
- Row 9 / F-001 / 1.1.1 (Klassifizierung als Trigger)
Nachgelagert:
- Row 46 / F-028 / 5.1.2 (operative Verschlüsselungsverfahren)
- Row 42 / F-024 / 4.1.2 (MFA-Token-Verwaltung)
- Row 44 / F-026 / 4.2.1 (PAM-Crypto)
- Row 55 / F-037 / 5.2.9 (Backup-Verschlüsselung)
- Row 59 / F-041 / 5.3.4 (Mandantentrennung Cloud)
Querverweise:
- Row 32 / F-014 / 1.6.2 (OEM-Kommunikation verschlüsselt)</t>
  </si>
  <si>
    <t>Policy Framework:
- RL Kryptografie &amp; Zertifikatsmanagement
- CA-Root-Konzept inkl. Offline-Root-CA-Strategie
- Key-Mgmt-Plan (Generation, Storage, Rotation, Recovery, Destruction)
- Revocation-Verfahren (CRL/OCSP)
Standards:
- ISO/IEC 27001:2022 A.8.24
- BSI TR-02102 (Kryptographische Verfahren)
- NIST SP 800-57 (Key Management)
- IETF RFC 5280 (PKI)
- VDA ISA 6.0.3 Kap. 5.1.1
Weitere Empfehlungen:
- KRITISCHE Priorität: CA-Root-Festlegung vor allen anderen Krypto-Maßnahmen
- HSM für Offline-Root-CA (oder PKI as a Service)
- Crypto-Inventur (alle Zertifikate, Algorithmen, Schlüssellängen)
- Post-Quantum-Crypto-Roadmap als Anhang (mittelfristig)</t>
  </si>
  <si>
    <t>Kritisch</t>
  </si>
  <si>
    <t>F-028</t>
  </si>
  <si>
    <t>5.1.2</t>
  </si>
  <si>
    <t>To what extent is information protected during transfer?</t>
  </si>
  <si>
    <t>Inwieweit sind Informationen während der Übertragung geschützt?</t>
  </si>
  <si>
    <t xml:space="preserve">Verträge werden unverschlüsselt versendet auch andere “vertrauliche”? Dokumente werden versendet. Was machen wir nach dem Portal. sobald die Daten bei uns sind die aus dem B2B Kundenportal kommen. Lösungsvorschlag: Trainieren und packen / verschlüsseln
Wenn der Kunde uns vertrauliche informationen zuschickt müssen wir dies auch in unserer Lieferkette berücksichtigen. wie stellen wir das sicher?
Werden Gehaltszettel per email versendet, wie läuft das?
Auditfrage: MA hat vertrauliche Vertragsdokument vom OEM, wie geht er damit im Datenaustausch um? -&gt; Zip + Pswd und dann wieder Upload - Training an MA: Mit welchen klassifizierten Dokumenten muss das so gemacht werden? (Thema: Klassifizierung)
-&gt; SK PDF Passwort immer das Gleiche.
</t>
  </si>
  <si>
    <t>Tipp vom Auditor: Zippen und Verschlüsseln als Anweisung im Workflow (!)
Windows 11 kann zwar zippen aber nicht verschlüsseln.
 7-Zip (in Matrix41 enthalten !) -&gt; ausrollen für alles User !
Patrick G. hat mit Sascha P. gesprochen: SW Asset Mgmt. müssen wir eine Zusatzlizenz erwerben (Angebotanfrage über S. Pulver)</t>
  </si>
  <si>
    <t>Umsetzungsgegenstand:
Standardisierung verschlüsselter Datenübertragung für vertrauliche Dokumente (7-Zip + Passwort) unternehmensweit, inkl. Trainingsmodul für klassifizierungsabhängige Handhabung.
Prozessbezug:
VDA ISA 5.1.2; ISO 27001 A.8.20, A.8.24.
Workflow Items:
1. 7-Zip-Roll-out auf alle Clients via Matrix42 (Owner: IT).
2. Lizenz-Klärung (Angebot S. Pulver, SW Asset Mgmt.).
3. STD 'Sichere Dateiübertragung' mit Beispielen (Owner: ISB).
4. Trainingsmodul: Klassifizierung → Methode.
5. SK: einheitliches PDF-Passwort beenden, individualisierte Passwörter.
Nachweis: SW-Inventory, STD, Trainingsnachweis, Audit-Demo-Use-Case (OEM-Vertragsversand).
Abhängigkeiten (Detail s. Spalte N):
→ baut auf F-027 + F-001; treibt F-014/F-043</t>
  </si>
  <si>
    <t>Vorgelagert:
- Row 45 / F-027 / 5.1.1 (Kryptografie-Rahmen)
- Row 9 / F-001 / 1.1.1 (Klassifikation)
Nachgelagert:
- Row 32 / F-014 / 1.6.2 (OEM-Kommunikation)
- Row 61 / F-043 / 6.1.2 (NDA-Versand)
Querverweise:
- Row 37 / F-019 / 2.1.4 (Reise-Verschlüsselung)</t>
  </si>
  <si>
    <t>Policy Framework:
- Verfahrensanweisung 'Verschlüsselung externer Versand'
- Konkretes Tool-Setup: 7-Zip-Pro-Lizenz für AES-256 + automatisierte Anwendung
- Alternative: M365 Information Protection / Sensitivity Labels
Standards:
- ISO/IEC 27001:2022 A.8.24
- BSI TR-02102 (zulässige Algorithmen)
- VDA ISA 6.0.3 Kap. 5.1.2
Weitere Empfehlungen:
- Lizenz 7-Zip Pro / professionelle Tool-Wahl klären (Sascha Pulver Open Point)
- Schulung 'Mail mit Anlage richtig versenden' (TTT-Modul)
- DLP-Regel: Vertraulich/Strictly Confidential → automatisch Verschlüsselung erzwingen</t>
  </si>
  <si>
    <t>Niedrig</t>
  </si>
  <si>
    <t>F-029</t>
  </si>
  <si>
    <t>5.2.1</t>
  </si>
  <si>
    <t>To what extent are changes managed?</t>
  </si>
  <si>
    <t>Inwieweit werden Veränderungen verwaltet?</t>
  </si>
  <si>
    <t xml:space="preserve">Werden Patches bezüglich Auswirkungen auf Sicherheit geprüft? 
Auch für OT?
Wie ist der Changemanagment Prozess beschrieben? 
Gibt es ein formales Genehmigungsverfahren. Ab wann ist etwas ein change? Gibt es ein Notfallverfahren falls changes nicht funktioniert haben. Ab wann ist es kein change sondern ein Projekt indem dann der eigentlich Change Projektbestandteil wird.
Wie werden Changes im IT und OT Bereich behandelt und umgesetzt?
ITILv3/v4 und ITSM für Change Mgmt. und CAB bzw. Change Authority
Teil des ISW (ISW dafür im Gremiensteckbrief anpassen), Umsetzung für OT im Change Mgmt. muss noch erfolgen. Was ist ein Change mit entspr. Auswirkung (e.g. Facility und phys. Sicherheit)
Gehnemigungsverfahren ist Teil des ISW.
</t>
  </si>
  <si>
    <t>OT Berücksichtigung !
Change Mgmt integriert in ISW Antrag -&gt; ISB -&gt; Aufbau Change Mgmt. Liste -&gt; Besprechung und Approval OKA/Rejection/OK im ISW
Projektspezifische Change extra
Gremiensteckbrief
Very High Avail: + Compliance with the information security requirements is verified during and after the changes are applied. (C, I, A)</t>
  </si>
  <si>
    <t>Umsetzungsgegenstand:
Durchgängiges Change Management (ITIL-/ITSM-orientiert) für IT und OT mit formaler Genehmigung (CAB / Change Authority im ISW), Notfall-Change-Verfahren, Patch-Security-Impact-Bewertung und Post-Change-Compliance-Verifikation (Very High Availability).
Prozessbezug:
VDA ISA 5.2.1; ISO 27001 A.8.32.
Workflow Items:
1. RL Change Mgmt. (Owner: ISB + IT + OT-Lead).
2. ISW-Antragsprozess als CAB-Funktion etablieren; OT-Repräsentant im ISW.
3. Gremiensteckbrief ISW aktualisieren.
4. Change-Liste mit Approval/Reject-Status.
5. Notfall-Change-Verfahren mit nachträglichem Approval.
6. Patch-Security-Impact-Check vor Deployment.
7. Post-Change-Compliance-Verifikation (C, I, A).
Nachweis: RL, ISW-Protokolle, Change-Liste, Verifikations-Reports.
Abhängigkeiten (Detail s. Spalte N):
→ Major NC + Krit. Prio; baut auf F-009/F-010/F-033; treibt F-030/F-032/F-038</t>
  </si>
  <si>
    <t>Vorgelagert:
- Row 26 / F-009 / 1.3.4 (SW-Review)
- Row 28 / F-010 / 1.4.1 (Risiko-Mgmt)
- Row 51 / F-033 / 5.2.5 (Vulnerability-Eingangsgröße)
Nachgelagert:
- Row 48 / F-030 / 5.2.2 (Dev/Test/Prod-Trennung)
- Row 50 / F-032 / 5.2.4 (Change-Logs)
- Row 56 / F-038 / 5.3.1 (IS in neuen Systemen)
Querverweise:
- Row 42 / F-024 / 4.1.2 (MFA bei Change-Approval)
- Row 44 / F-026 / 4.2.1 (PAM für Changes)</t>
  </si>
  <si>
    <t>Policy Framework:
- RL Change Management (IT + OT separat dokumentiert)
- CAB-Geschäftsordnung mit ISW (Information Security Workgroup) als Stimmrecht
- Standard / Normal / Emergency Change-Workflows
Standards:
- ISO/IEC 27001:2022 A.8.32
- ITIL 4 Change Enablement
- IEC 62443-2-1 SP.05 (OT-Change-Mgmt)
- VDA ISA 6.0.3 Kap. 5.2.1
Weitere Empfehlungen:
- KRITISCHE Priorität: CAB-Doku + ISW-Stimmrecht vor AL3-Audit
- Change-Risk-Assessment-Template (Pflicht für ≥ Normal Changes)
- Patch-Bewertung mit IS-Auswirkung explizit (kein 'Standard-Pass-Through')
- OT-Change-Window-Planung mit Produktion abgestimmt</t>
  </si>
  <si>
    <t>DE/SK/PL</t>
  </si>
  <si>
    <t>F-030</t>
  </si>
  <si>
    <t>5.2.2</t>
  </si>
  <si>
    <t>To what extent are development and testing environments separated from operational environments?</t>
  </si>
  <si>
    <t>Inwieweit sind Entwicklungs- und Testumgebungen von operativen Umgebungen getrennt?</t>
  </si>
  <si>
    <t>Wie ist ein Entwickung- und Testsystem bei den Steuerungen der Maschinen gegeben, wie werden Änderungen verifiziert bevor sie auf die “LIVE” Maschine gehen?
Abgenommen R&amp;R müsste nach Änderungen ggf. dem Kunden wieder proaktiv genannt werden
Auditfrage: E.g. für ERP-System, Featureimplementierung -&gt; 3 stufiges System, Entwicklung, Testing, dann Prod (gegeben für ERP)
Läuft das im OT-Bereich? Roleback? (e.g. Produktionslinie VW zutreffend?!)
Prozedere ohne Testing: Backup im Sommer bei Werksferien und dann Release Update.</t>
  </si>
  <si>
    <t xml:space="preserve">OT Umsetzung Testing / Prod Stageing
Run &amp; Rate für OEMs (Kunden) Info's gem. vertraglicher Vorgaben umgesetzt?
</t>
  </si>
  <si>
    <t>Umsetzungsgegenstand:
Dev/Test/Prod-Trennung auch im OT-Bereich (Maschinensteuerung) inkl. Rollback-Konzept und vertraglicher OEM-Information bei R&amp;R-relevanten Änderungen.
Prozessbezug:
VDA ISA 5.2.2; ISO 27001 A.8.31.
Workflow Items:
1. OT-Staging-Konzept (Owner: OT-Lead + ISB).
2. Rollback-Verfahren je SPS/PLC-Typ.
3. Vertragsanalyse OEM (R&amp;R-Reporting-Pflichten).
4. Werksferien-Update-Window als Wirksamkeitsnachweis dokumentieren.
Nachweis: Staging-Konzept, Rollback-Tests, OEM-Notify-Protokolle.
Abhängigkeiten (Detail s. Spalte N):
→ baut auf F-029; OT-Bezug via F-003</t>
  </si>
  <si>
    <t>Vorgelagert:
- Row 47 / F-029 / 5.2.1 (Change Mgmt)
Nachgelagert:
- Row 50 / F-032 / 5.2.4 (Logging)
Querverweise:
- Row 14 / F-003 / 1.2.2 (OT-Assets)
- Row 27 / F-General / 1.3.4 (IEC 62443)</t>
  </si>
  <si>
    <t>Policy Framework:
- RL Trennung Entwicklungs-, Test- und Produktivumgebungen (IT + OT)
- Daten-Anonymisierung-Verfahren für Testdaten
Standards:
- ISO/IEC 27001:2022 A.8.31
- IEC 62443-3-3 SR 5.4 (OT-Application Partitioning)
- VDA ISA 6.0.3 Kap. 5.2.2
Weitere Empfehlungen:
- OT-Test-Stationen physisch oder logisch getrennt von Produktivanlagen
- Netzwerk-Segmentierung Dev/Test/Prod als Pflicht
- Daten-Snapshots mit Schutzbedarfs-Bewertung</t>
  </si>
  <si>
    <t>IT/OT</t>
  </si>
  <si>
    <t>F-031</t>
  </si>
  <si>
    <t>5.2.3</t>
  </si>
  <si>
    <t>To what extent are IT systems protected against malware?</t>
  </si>
  <si>
    <t>Inwieweit sind IT-Systeme vor Malware geschützt?</t>
  </si>
  <si>
    <t>Updatemechanismus, von Entpoint. Reporting von MDR ?
Kein Schutz für OT Endpoint (Maschine) nur wenn von Außen gut geschützt nicht notwendig. 
Wie ist sichergestellt das die Einstellungen nicht geändert werden ohne das es jemand mitbekommt (Roland hatte da auch ein Bsp. von einem Anlagenbauer)
Viren-Signaturenupdate für alle Assets im Sophos Bereich. Endpointsprotection MDR (24x7), NDR (24x7), bis auf Clients outgescourced.  Dienstleister liegt vor 24x7, bei Incident Report -&gt; Aufbereiten für Nachweise.
Beschreibung aus ISRA für OT Bereich warum dort nicht relevant, weil kein Zugriff von Außen etc.
MES Relevanz für SaaS und OT-Desktop(s) -&gt; keine IT-Notebooks ?
USB-Sticks werden vorab gescannt  in OT?</t>
  </si>
  <si>
    <t>Beschreibung aus ISRA für OT Bereich warum dort nicht relevant, weil kein Zugriff von Außen etc. -&gt; Nicht relevant bei keinen ext. Zugriffen -&gt; Prüfen für OT!</t>
  </si>
  <si>
    <t>Umsetzungsgegenstand:
Vollständiger Malware-Schutz IT (Sophos MDR/NDR 24/7) mit Reporting-Integration; OT mit dokumentierter Risikobewertung im ISRA (kompensierende Kontrollen statt Endpoint-AV); USB-Scan-Verfahren OT.
Prozessbezug:
VDA ISA 5.2.3; ISO 27001 A.8.7.
Workflow Items:
1. Sophos-MDR-Reporting-Standard (Owner: IT) mit MTTR-KPI.
2. ISRA-Eintrag OT: Begründung kein Endpoint-AV (kein Außenzugriff, kompensierende Kontrollen).
3. USB-Scan-Verfahren OT (dedizierter Scan-PC).
4. MES/SaaS-Schutzkonzept.
5. Konfigurations-Änderungs-Alerts.
Nachweis: MDR-Reports, ISRA, USB-Scan-Protokolle.
Abhängigkeiten (Detail s. Spalte N):
→ baut auf F-006; treibt F-013/F-032; nutzt Lessons aus F-General</t>
  </si>
  <si>
    <t>Vorgelagert:
- Row 23 / F-006 / 1.3.1 (Asset-Scope für Schutz)
Nachgelagert:
- Row 31 / F-013 / 1.6.1 (Incident: Malware als Detektion)
- Row 50 / F-032 / 5.2.4 (Malware-Logs als Eventquelle)
Querverweise:
- Row 2 / F-General (Play-Ransomware Lessons)
- Row 40 / F-022 / 3.1.4 (Mobile-Malware)</t>
  </si>
  <si>
    <t>Policy Framework:
- RL Schadprogramm-Schutz (Endpoint + Mail + Web + OT)
- MDR-Service-Beschreibung (Sophos XDR/MDR mit SLA-Anbindung)
- Update-Mechanismus für Endpoint-Schutz (Signatur + Engine)
Standards:
- ISO/IEC 27001:2022 A.8.7
- IEC 62443-3-3 SR 3.2 (Malware Protection OT)
- VDA ISA 6.0.3 Kap. 5.2.3
Weitere Empfehlungen:
- MDR-Reporting als monatliches ISMS-KPI
- OT-spezifische Malware-Schutz-Strategie (App-Whitelisting statt klassische AV)
- Threat-Intel-Feed-Integration</t>
  </si>
  <si>
    <t>F-032</t>
  </si>
  <si>
    <t>5.2.4</t>
  </si>
  <si>
    <t>To what extent are event logs recorded and analysed?</t>
  </si>
  <si>
    <t>Inwieweit werden Ereignisprotokolle aufgezeichnet und analysiert?</t>
  </si>
  <si>
    <t>Eventlogs und Protokolle, Ereignissprotokolle im OT Bereich? Wie lange werden logs gespeichert?
Im Sophos Central laufen die lizenzierten Module (FW, Access Points, Switches, etc.) zusammen, darauf greift das MDR zu für Netzwerkgeräte. Reporting erfolgt in die Cloud zu Sophos Central.
OT: Liegen Event-Logs von PROD/OT Assets vor?
Log Retention Rate wie definiert. Zeitpunkt und/oder Datenvolumen?</t>
  </si>
  <si>
    <t>OT: Liegen Event-Logs von PROD/OT Assets vor?
Log Retention Rate wie definiert. Zeitpunkt und/oder Datenvolumen?</t>
  </si>
  <si>
    <t>Umsetzungsgegenstand:
Vollständige Erfassung und Analyse sicherheitsrelevanter Ereignisprotokolle für IT (Sophos Central, FW, AP, Switch) und Definition OT-Event-Logging mit verbindlicher Retention-Policy.
Prozessbezug:
VDA ISA 5.2.4; ISO 27001 A.8.15, A.8.16.
Workflow Items:
1. Log-Coverage-Matrix (Owner: IT + OT-Lead + ISB).
2. Retention-Policy (z. B. 12 Monate online, 24 Monate Archiv).
3. OT-Event-Logging-Konzept (PROD/OT-Assets).
4. SIEM-/MDR-Anbindung der OT-Logs (sofern technisch möglich).
5. Stichprobenauswertung.
Nachweis: Log-Matrix, Retention-Policy, MDR-Reports.
Abhängigkeiten (Detail s. Spalte N):
→ baut auf F-002; Voraussetzung für F-013/F-029/F-033/F-034/F-011</t>
  </si>
  <si>
    <t>Vorgelagert:
- Row 11 / F-002 / 1.2.1 (Audit-Anforderungen)
- Row 12 / F-002 / 1.2.1 (KPIs als Logziele)
Nachgelagert:
- Row 31 / F-013 / 1.6.1 (Incident: Logs als Beweis)
- Row 47 / F-029 / 5.2.1 (Change-Logs)
- Row 51 / F-033 / 5.2.5 (Vulnerability-Logs)
- Row 52 / F-034 / 5.2.6 (Pentest-Detektion)
- Row 29 / F-011 / 1.5.1 (Wirksamkeitsdaten)
Querverweise:
- Row 22 / F-005 / 1.2.4 (externe Zugriffe)
- Row 44 / F-026 / 4.2.1 (PAM-Session-Logs)</t>
  </si>
  <si>
    <t>Policy Framework:
- RL Logging &amp; Monitoring (zentrale Aggregation, Retention, Datenschutz)
- Log-Quellen-Katalog (IT + OT inkl. Steuerungssysteme, sofern logging-fähig)
- SIEM/SOC-Konzept (intern + extern)
Standards:
- ISO/IEC 27001:2022 A.8.15, A.8.16, A.8.17
- IEC 62443-3-3 SR 6.1, SR 6.2 (Audit Logs OT)
- BSI Baustein DER.1 (Detektion)
- VDA ISA 6.0.3 Kap. 5.2.4
Regulatorisch:
- DSGVO Art. 30, 32 (Verarbeitungsverzeichnis, Logging-Datenschutz)
Weitere Empfehlungen:
- OT-Logging: Syslog-Forwarder oder Log-Sammelpunkt je Werk
- Mindest-Retention 12 Monate (24 Monate für Sicherheitslogs)
- Use-Case-Bibliothek für SIEM-Detektion (Ransomware, Privilege Misuse, OT-Anomalien)</t>
  </si>
  <si>
    <t>F-033</t>
  </si>
  <si>
    <t>5.2.5</t>
  </si>
  <si>
    <t>To what extent are vulnerabilities identified and addressed?</t>
  </si>
  <si>
    <t>Inwieweit werden Schwachstellen identifiziert und behoben?</t>
  </si>
  <si>
    <t>Wie wird das Patchmanagement im OT oder Facility Bereich gehändelt. Kamera, Türsteuerung, Klima, Drucker oder sonstige Geräte?
Schwachstellenmanagement im OT Bereich, Wer bekommt das mit, wie werden die bewertet und eingeplant. Ist in der Regel parallel zum Matrix42 und daher in 2 verschiedenen Systemen geführt.
Referenz zu Kontroll 1.5.1. Die Regelmäßige Überwachung findet Technisch und systemseitig durch Matrix42 statt. deshalb muss es da mit aufgenommen werden.
Coverage Matrix follows additional VM Policy or Standard beyound IT/OT Operation Policy tbd. (!)
Auditor: Der Markt hat kein einheitliches System für IT &amp; OT.
Nachweise für OT was für Maßnahmen wenn Vulnerabiltiies, inkl. ISRA.</t>
  </si>
  <si>
    <t>2 verschiedene Tools im VM, a) Matrix 42 b) Open CVE -&gt; Eigen Trackingliste + PDCA
Referenz zu Kontroll 1.5.1. Die Regelmäßige Überwachung findet Technisch und systemseitig durch Matrix42 statt. deshalb muss es da mit aufgenommen werden.</t>
  </si>
  <si>
    <t>Umsetzungsgegenstand:
Durchgängiges Vulnerability Management für IT (Matrix42) und OT/Facility (Kamera, Türsteuerung, Klima, Drucker) inkl. Open-CVE-Tracking, PDCA und Coverage-Matrix.
Prozessbezug:
VDA ISA 5.2.5 + 1.5.1; ISO 27001 A.8.8.
Workflow Items:
1. VM-Coverage-Matrix IT/OT/Facility (Owner: ISB + IT + OT).
2. Tool-Set: Matrix42 (IT) + Open-CVE-Tracking (OT/Facility) + eigene Trackingliste.
3. PDCA-Zyklus + KPI (Patch-Compliance, Mean-Time-to-Patch).
4. VM-RL/STD (Coverage Matrix als Ergänzung zur IT/OT-Operation Policy).
5. ISRA-Eintrag bei nicht patchbaren OT-Komponenten.
Nachweis: Coverage-Matrix, PDCA-Berichte, KPI-Dashboard.
Abhängigkeiten (Detail s. Spalte N):
→ Major NC + Krit. Prio; baut auf F-006/F-009/F-029/F-003; treibt F-034</t>
  </si>
  <si>
    <t>Vorgelagert:
- Row 23 / F-006 / 1.3.1 (Asset Mgmt)
- Row 26 / F-009 / 1.3.4 (SW-Review)
- Row 47 / F-029 / 5.2.1 (Change Mgmt für Patches)
- Row 14 / F-003 / 1.2.2 (OT-Assetliste)
Nachgelagert:
- Row 52 / F-034 / 5.2.6 (Pentest)
Querverweise:
- Row 28 / F-010 / 1.4.1 (Risiko-Scoring)
- Row 50 / F-032 / 5.2.4 (Vuln-Logs)</t>
  </si>
  <si>
    <t>Policy Framework:
- RL Schwachstellen- und Patch-Management (IT + OT getrennt)
- Vuln-Klassifikation (CVSS) mit Patch-SLA je Klasse
- OT-Patch-Matrix mit Anbieter-Freigaben
Standards:
- ISO/IEC 27001:2022 A.8.8
- IEC 62443-3-3 SR 7.6 (OT Software/Firmware-Management)
- BSI Baustein OPS.1.1.3 (Patch- und Änderungsmanagement)
- VDA ISA 6.0.3 Kap. 5.2.5
Weitere Empfehlungen:
- KRITISCHE Priorität für AL3: Patch-Compliance als Top-KPI
- IT: Matrix42 als Patch-Quelle
- OT: passive Vuln-Detection (z. B. Claroty/Nozomi) + Anbieter-Advisories
- Compensating Controls dokumentieren, wo Patches nicht möglich (Whitelisting, Netzwerk-Iso)</t>
  </si>
  <si>
    <t>F-034</t>
  </si>
  <si>
    <t>5.2.6</t>
  </si>
  <si>
    <t>To what extent are IT systems and services technically checked (system and service audit)?</t>
  </si>
  <si>
    <t>Inwieweit werden IT-Systeme und -Dienste technisch überprüft (System- und Service-Audit)?</t>
  </si>
  <si>
    <t>Gibt es Tests von außen und Audits die die kritischen systeme prüft auch OT. Was sind alles kritische systeme auch mit Blick auf unsere sehr hohe Verfügbarkeit
Hinweis: Nur grün wenn tatsächlich überprüft und dokumentiert
Auditor: PenTesting für kritische Systeme gegeben für IT und OT, speziell wenn von Außen zugegriffen werden kann. Reporting als Nachweiss. / inl. Internet Facing Application(s)
Bitte VeryHIghA. berücksichtigen für System die nicht gescanned werden können.</t>
  </si>
  <si>
    <t>OT mit berücksichtigen; Bewertung für kritische Systeme (SPSSn, ERP), was sind die kritischen Geschäftsprozesse bzgl. Verfügbarkeiten?
Ext. PenTesting für krit. IT/OT Systeme.</t>
  </si>
  <si>
    <t>Umsetzungsgegenstand:
Regelmäßiges technisches Audit-/Pentest-Programm für kritische IT- und OT-Systeme sowie internetexponierte Anwendungen, mit Konzept für nicht scanbare Systeme (Very High Availability).
Prozessbezug:
VDA ISA 5.2.6; ISO 27001 A.8.8, A.8.29.
Workflow Items:
1. Inventar kritischer Systeme (Owner: ISB + IT + OT).
2. Pentest-Plan (jährlich + bei wesentl. Changes) — extern beauftragt.
3. Internet-Facing-App-Liste mit Scan-Coverage.
4. Alternative Kontrollen für nicht-scanbare Systeme (Architekturreview, Konfig-Audit).
Nachweis: Pentest-Reports, Maßnahmenverfolgung, Architekturbewertung.
Abhängigkeiten (Detail s. Spalte N):
→ Major NC + Krit. Prio; baut auf F-033/F-035; ist Wirksamkeitsnachweis für F-011</t>
  </si>
  <si>
    <t>Vorgelagert:
- Row 51 / F-033 / 5.2.5 (Vuln-Mgmt als Eingangsgröße)
- Row 53 / F-035 / 5.2.7 (Netzwerk-Topologie)
Nachgelagert:
- Row 29 / F-011 / 1.5.1 (Pentest als Wirksamkeitsnachweis)
Querverweise:
- Row 50 / F-032 / 5.2.4 (Detektions-Test)
- Row 27 / F-General / 1.3.4 (IEC 62443-Pentest)</t>
  </si>
  <si>
    <t>Policy Framework:
- RL Penetrationstest &amp; Red-Team-Übungen
- Pentest-Strategie: extern jährlich, intern halbjährlich, OT-Pentest alle 2 Jahre
- Scope-Dokumente je Test (mit Rules of Engagement)
Standards:
- ISO/IEC 27001:2022 A.8.29
- OSSTMM, OWASP-Testleitfäden
- BSI Studie Pentest-Methodik
- VDA ISA 6.0.3 Kap. 5.2.6
Weitere Empfehlungen:
- KRITISCHE Priorität: Pentest IT + OT vor Juni-Audit
- Lieferantenwahl mit ISO-27001-zertifiziertem Pentester
- Findings-Tracking mit Re-Test-Pflicht
- Pentest-Bericht als Wirksamkeitsnachweis im AL3-Audit-File</t>
  </si>
  <si>
    <t>F-035</t>
  </si>
  <si>
    <t>5.2.7</t>
  </si>
  <si>
    <t>To what extent is the network of the organization managed?</t>
  </si>
  <si>
    <t>Inwieweit wird das Netzwerk der Organisation verwaltet?</t>
  </si>
  <si>
    <t>Welche Netzwerksegmente gibt es. Topologie, Netzwerkplan, wird alles über die FW geroutet?
Wie äuft der Zugriff auf die Firewall, wie sieht die Darstellung im Bereich der einzelenen RED´s zur “Mama” FW aus. Wie wird es administriert und wer hat Zugriff. Admin Logs?
Auditfragen: Welche Netzwerksegmentierungen existieren, VLANs, Routing der FWs in das Netz, Welche Netzwerktools exisiteren? -&gt; Steuerung über VLANs ausschließlich, Ausnahme Wifi -&gt; Ein Wifi für MA.
High Availability -&gt; Admin Zugriff, und Dokumentiert für relevante Admin Rechte.
Darstellung Umsetzung -&gt; Patrick schreibt auf (Netzwerkaufbau)</t>
  </si>
  <si>
    <t>REDs = Aff. Standorte, TBV-&gt; für richtige FWs (RED für OT Netz und nicht mehr über den LTE Router)
High Availability -&gt; Admin Zugriff, und Dokumentiert für relevante Admin Rechte.
Darstellung Umsetzung -&gt; Patrick schreibt auf (Netzwerkaufbau)
Netzwerkpläne aktualisieren (!) -&gt; IT und auch für OT-Zonen (SK) inkl. PLN / eigens VLAN und Zonierung (Engin. läuft -&gt; ISW ZAAB berücksichtigen)</t>
  </si>
  <si>
    <t>Umsetzungsgegenstand:
Aktualisierung der Netzwerkdokumentation (Topologie, VLANs, FW-Routing, RED-Anbindung Plants) inkl. eigener OT-Zonierung (SK/PL/PLN), dokumentierter Admin-Zugriffe und Failover-Darstellung für High Availability.
Prozessbezug:
VDA ISA 5.2.7; ISO 27001 A.8.20–A.8.22.
Workflow Items:
1. Netzwerk-Architektur-Dokumentation aktualisieren (Owner: IT-Lead Patrick + ISB).
2. RED auf zentrale FW pro Standort; OT-Netz auf eigene RED (nicht mehr LTE-Router).
3. OT-VLAN-Zonierung mit ISW-ZAAB.
4. Admin-Zugriffsregister (wer, wann, wie).
5. Wifi-Konzept: dediziertes MA-Wifi.
Nachweis: Netzwerkpläne pro Standort, Admin-Liste, Konfigurations-Export.
Abhängigkeiten (Detail s. Spalte N):
→ baut auf F-003/F-020; treibt F-034/F-038</t>
  </si>
  <si>
    <t>Vorgelagert:
- Row 14 / F-003 / 1.2.2 (OT-Assets)
- Row 38 / F-020 / 3.1.1 (Physische Zonen analog)
Nachgelagert:
- Row 52 / F-034 / 5.2.6 (Pentest braucht Topologie)
- Row 56 / F-038 / 5.3.1 (IS in Architektur)
Querverweise:
- Row 27 / F-General / 1.3.4 (IEC 62443 Zonen/Conduits)
- Row 57 / F-039 / 5.3.2 (Provider-SLA)</t>
  </si>
  <si>
    <t>Policy Framework:
- RL Netzwerksicherheit &amp; Architektur-Standards
- Netzwerktopologie-Doku je Standort (aktuell, freigegeben)
- IT/OT-Segmentierungs-Konzept (DMZ/Zonen/Conduits nach IEC 62443-3-2)
Standards:
- ISO/IEC 27001:2022 A.8.20-A.8.23
- IEC 62443-3-2 (Zonen &amp; Conduits)
- IEC 62443-3-3 SR 5.1 (Network Segmentation)
- Purdue-Modell
- VDA ISA 6.0.3 Kap. 5.2.7
Weitere Empfehlungen:
- Topologie-Diagramme je Werk visualisieren + Auditor-tauglich
- Mikro-Segmentierung als Ziel für sensible OT-Bereiche
- Network Access Control (NAC, 802.1X)</t>
  </si>
  <si>
    <t>F-036</t>
  </si>
  <si>
    <t>5.2.8</t>
  </si>
  <si>
    <t>To what extent is continuity planning for IT services in place?</t>
  </si>
  <si>
    <t>Inwieweit ist die Kontinuitätsplanung für IT(OT)-Dienstleistungen vorhanden?</t>
  </si>
  <si>
    <t>Business Impact Analyse mit Relevanten Zahlen / Zeiten für Kritsische Service und dann die Test machen ob die systeme wieder in der angegebenen zeiten wieder passen. Wie läuft das in OT? Es muss nicht alles auf einmal getestet werden. Ein system pro Quartal. Einen Plan erstellen und dokumentieren. Georedundante Backups im OT Bereich, Zum Testen einefach ein Plan erstellen, was, wann, wie, getestet wird, nicht alles auf einmal notwendig
Auditor: Anforderungen überprüfen für Full - Recovery Time im BCM/DR Kontext für vollumfängliche technische Widerherstellung.
Plan 1 x Quartal Widerherstellungtest für best. Application/System
Backup-Szenarien und geografisch, Backup Testing in den Zeitintervallen.</t>
  </si>
  <si>
    <t>OT für BIA/GAP und DR überprüfen.
Notfalltests/Widerherstellungen Exercises pro Quartal für kritische Applicationen.
Ergebnis von BIA -&gt; GAP und Vorgaben Emergency Planning und Testing IT &amp; OT !</t>
  </si>
  <si>
    <t>Umsetzungsgegenstand:
BIA und Gap-Analyse für IT und OT mit RTO/RPO-Definition, quartalsweise Recovery-Tests kritischer Applications, geo-redundante Backups (auch OT) und dokumentierter Notfallplan.
Prozessbezug:
VDA ISA 5.2.8 + 5.2.9; ISO 22301; BSI-Standard 200-4.
Workflow Items:
1. BIA IT + OT je Standort (Owner: ISB + IT + OT).
2. Gap-Analyse vs. Recovery-Capability.
3. Quartals-Recovery-Test-Plan (1 System pro Quartal).
4. Geo-Redundanz-Konzept (Lücke SK/PL schließen).
5. Emergency-Planning IT &amp; OT.
Nachweis: BIA-Bericht, Gap-Analyse, Quartalstest-Protokolle.
Abhängigkeiten (Detail s. Spalte N):
→ baut auf F-015/F-037/F-032; liefert Wirksamkeitsnachweis für F-011</t>
  </si>
  <si>
    <t>Vorgelagert:
- Row 33 / F-015 / 1.6.3 (BCM/Krisen-Framework)
- Row 55 / F-037 / 5.2.9 (Backups als DR-Grundlage)
- Row 50 / F-032 / 5.2.4 (Logging als Test-Nachweis)
Nachgelagert:
- Row 29 / F-011 / 1.5.1 (Test-Ergebnisse als Wirksamkeitsnachweis)
Querverweise:
- Row 2 / F-General (Play-Ransomware: tatsächlicher BCM-Test)</t>
  </si>
  <si>
    <t>Policy Framework:
- RL BCM/DR-Tests mit Testplan &amp; -kalender
- Test-Protokoll-Vorlage mit KPIs (RTO/RPO-Achievement)
- Eskalations- und Rückfall-Verfahren bei Testfehlschlag
Standards:
- ISO 22301:2019 §8.5 (Übung &amp; Test)
- ISO/IEC 27031:2011
- BSI 200-4 (Übungsformate)
- VDA ISA 6.0.3 Kap. 5.2.8
Weitere Empfehlungen:
- Mindest 2 DR-Tests/Jahr je kritischem System
- Restore-Tests aus Backup als Pflicht-Bestandteil
- BIA-Daten als KPI-Quelle</t>
  </si>
  <si>
    <t>F-037</t>
  </si>
  <si>
    <t>5.2.9</t>
  </si>
  <si>
    <t>To what extent is the backup and recovery of data and IT services ensured?</t>
  </si>
  <si>
    <t>Inwieweit ist das Backup und die Wiederherstellung von Daten und IT-Diensten gewährleistet?</t>
  </si>
  <si>
    <t xml:space="preserve">
Geo-Redundante Backups
High &amp; Very High beachten !</t>
  </si>
  <si>
    <t>OT Backups und IT Verfahren (Veeam)
Geo-Redundanz ist durch IT-Backups nicht in SK/PL gegeben (!)</t>
  </si>
  <si>
    <t>Umsetzungsgegenstand:
Schließung der Geo-Redundanz-Lücke für IT-Backups in SK/PL und OT-Backups; Etablierung Veeam-basierter IT-Backup-Verfahren mit dokumentierten Tests (Very High Availability).
Prozessbezug:
VDA ISA 5.2.9; ISO 27001 A.8.13.
Workflow Items:
1. Backup-Strategy-Update (Owner: IT-Leitung + ISB).
2. Geo-Replikation SK ↔ PL ↔ DE/AT-Standort.
3. OT-Backup-Verfahren je Plant.
4. Quartalstest Restore-Drills mit Protokoll.
Nachweis: Backup-Policy, Replikationsstatus, Restore-Protokolle.
Abhängigkeiten (Detail s. Spalte N):
→ baut auf F-015/F-006/F-027; treibt F-036; SK/PL Geo-Redundanz Lücke</t>
  </si>
  <si>
    <t>Vorgelagert:
- Row 33 / F-015 / 1.6.3 (BCM-Anforderungen)
- Row 23 / F-006 / 1.3.1 (Asset-Scope)
- Row 45 / F-027 / 5.1.1 (Backup-Verschlüsselung)
Nachgelagert:
- Row 54 / F-036 / 5.2.8 (BCM-Tests)
Querverweise:
- Row 14 / F-003 / 1.2.2 (OT-Backup)
- Row 58 / F-040 / 5.3.3 (Cloud-Daten-Backup)</t>
  </si>
  <si>
    <t>Policy Framework:
- RL Backup &amp; Recovery mit Geo-Redundanz-Konzept
- 3-2-1-1-0-Regel (3 Kopien, 2 Medien, 1 offsite, 1 immutable, 0 Fehler)
- Backup-Klassifikation je Schutzbedarf (High / Very High)
Standards:
- ISO/IEC 27001:2022 A.8.13
- BSI Baustein CON.3 (Datensicherungs-Konzept)
- VDA ISA 6.0.3 Kap. 5.2.9
Weitere Empfehlungen:
- LÜCKE: Geo-Redundanz SK-Myjava und PL-Międzyrzecze schließen (cross-site oder Cloud)
- Immutable Backups gegen Ransomware (Object-Lock / WORM)
- Restore-Tests vierteljährlich (geht in F-036 ein)
- Backup-Verschlüsselung mit getrenntem Schlüsselsatz</t>
  </si>
  <si>
    <t>F-038</t>
  </si>
  <si>
    <t>5.3.1</t>
  </si>
  <si>
    <t>To what extent is information security considered in new or further developed IT systems?</t>
  </si>
  <si>
    <t>Inwieweit wird Informationssicherheit in neuen oder weiterentwickelten IT-Systemen berücksichtigt?</t>
  </si>
  <si>
    <t>Aussage Auditor: Die Checkliste mit den Anforderungen an die Systeme ist ganz gut.  Da dagegen zyklische Checks machen. 
Wer ist bei der Anschaffung involviert. 
Wie gehen wir mit Eigenentwicklung und eigene Programierungen als Anpassung um? Dies gilt es zu vermeiden, das Anpassungen nicht bzgl. Inf.Sec. Impakt betrachtet werden (zyklisch).
 Nachprüfung auf kommender BIA und Gap-Analysis. Unterscheidung Build und Customized SW für Very High Availability. Aktuell nicht gegeben.</t>
  </si>
  <si>
    <t>Zyklischer Bewertungsprozess IT und OT neben generellem Assessment. (OT offen)</t>
  </si>
  <si>
    <t>Umsetzungsgegenstand:
Zyklischer Security-Review-Prozess für neue/weiterentwickelte IT- und OT-Systeme inkl. Eigenentwicklungen und Customizing, mit Trennung Build vs. Customized SW (Very High Availability).
Prozessbezug:
VDA ISA 5.3.1; ISO 27001 A.8.25–A.8.28.
Workflow Items:
1. Erweiterung Checkliste IS-Anforderungen (Owner: ISB).
2. Zyklisches Re-Assessment (jährlich + bei wesentl. Changes).
3. Einbindung ISB in Beschaffungs-/Engineering-Prozess.
4. Build vs. Customized in BIA differenzieren.
Nachweis: Checkliste, Assessment-Protokolle, Beschaffungsfreigaben.
Abhängigkeiten (Detail s. Spalte N):
→ baut auf F-003/F-010/F-035; treibt F-029</t>
  </si>
  <si>
    <t>Vorgelagert:
- Row 17 / F-003 / 1.2.2 (IS in Projekten)
- Row 28 / F-010 / 1.4.1 (Risiko)
- Row 53 / F-035 / 5.2.7 (Netzwerk-Architektur)
Nachgelagert:
- Row 47 / F-029 / 5.2.1 (Change-Übergang)
Querverweise:
- Row 18 / F-004 / 1.2.3 (Projekt-Konsolidierung)</t>
  </si>
  <si>
    <t>Policy Framework:
- RL Sicherheit in Beschaffung &amp; neuer Systeme
- Security-Requirements-Checkliste (Pflicht im Lastenheft)
- Architekturreview-Verfahren mit ISB als Stimmrecht
Standards:
- ISO/IEC 27001:2022 A.5.8, A.8.25, A.8.26, A.8.27
- NIST SP 800-160 (Secure Engineering)
- VDA ISA 6.0.3 Kap. 5.3.1
Weitere Empfehlungen:
- Auditor-Hinweis ernst nehmen: Checkliste muss in Beschaffung obligatorisch sein
- Veto-Recht ISB bei Hochrisiko-Systemen
- Security-by-Design-Schulung für Architekten</t>
  </si>
  <si>
    <t>F-039</t>
  </si>
  <si>
    <t>5.3.2</t>
  </si>
  <si>
    <t>To what extent are requirements for network services defined?</t>
  </si>
  <si>
    <t>Inwieweit sind Anforderungen an Netzwerkdienste definiert?</t>
  </si>
  <si>
    <t>Wie sehen die SLA´s zu den Provider aus -&gt; Vertragliche Vereinbarungen und Anpassungen wo erforderlich. 
Auch die Redundanz muss beschrieben sein. wurde das mal getestet? 
Wie wird der traffic gemessen, nachweisen das die Bandbreite ausreicht (Bitte Failover Konzept und Ice-Licensing betrachten.
'Auditorfragen: Bei zentralen Services, wie kommen Polen, SK in das zentrale Netzwerk und Diensteanbieter SLAs bei Netzwerkausfall  (Netzwerkprovider: Telecom und SWAN); Welche SLAs gibt es mit dem Provider und wie erfolgt die Umschaltung? -&gt; 3 Verbindung in SK beauftragt
Dokumentation ergänzen -&gt; Mark Lütz; für PL noch zu betrachten
Dashboard für Verfügbarkeit (FWs bei 2 Lanes), Measurement darstellen (ggfs. in KPI einbetten),
Performance Indikatoren.</t>
  </si>
  <si>
    <t>Netzwerk aller Lokationen, aber insbesonder auch für die OT Relevanz in den Plants</t>
  </si>
  <si>
    <t>Umsetzungsgegenstand:
Vertragliche Konsolidierung der Netzwerkdienst-SLAs (Telekom, SWAN) inkl. Redundanzkonzept, Bandbreitenmessung, Failover-Test und Verfügbarkeits-Dashboard insbesondere für OT-Plants SK/PL.
Prozessbezug:
VDA ISA 5.3.2 + 5.2.8; ISO 27001 A.5.21.
Workflow Items:
1. SLA-Register Netzwerkprovider (Owner: IT + Einkauf).
2. Failover-Testplan + Prüfung Ice-Licensing.
3. Verfügbarkeits-Dashboard (FWs auf 2 Lanes) als KPI.
4. Doku-Update PL (durch ISB).
5. Performance-Indikatoren in KPI einbetten.
Nachweis: SLAs, Failover-Test-Protokolle, Dashboard.
Abhängigkeiten (Detail s. Spalte N):
→ baut auf F-005/F-008; treibt F-042</t>
  </si>
  <si>
    <t>Vorgelagert:
- Row 21 / F-005 / 1.2.4 (OLA-Struktur)
- Row 25 / F-008 / 1.3.3 (externe IT-Dienste)
Nachgelagert:
- Row 60 / F-042 / 6.1.1 (Supplier-Mgmt)
Querverweise:
- Row 53 / F-035 / 5.2.7 (Netzwerk-Architektur)</t>
  </si>
  <si>
    <t>Policy Framework:
- RL Netzwerk-Service-Mgmt
- SLA-Vorlage für Netzwerk-Provider mit IS-Klauseln (Verfügbarkeit, Integrität, Vertraulichkeit, Reporting, Incident-Meldung)
Standards:
- ISO/IEC 27001:2022 A.5.22, A.8.21
- ITIL 4 Service Level Mgmt
- VDA ISA 6.0.3 Kap. 5.3.2
Weitere Empfehlungen:
- SLA-Performance-Reporting als KPI
- Pönale-Regelung bei SLA-Verletzung</t>
  </si>
  <si>
    <t>F-040</t>
  </si>
  <si>
    <t>5.3.3</t>
  </si>
  <si>
    <t>To what extent is the return and secure removal of information assets from external IT services regulated?</t>
  </si>
  <si>
    <t>Inwieweit wird die Rückgabe und sichere Entfernung von Informationsressourcen aus externen IT-Diensten reguliert?</t>
  </si>
  <si>
    <t>Wie werden Devices (Assets) außer non prod gesetzt?
Wer macht das, wo steht das? Und ist sichergestellt das die Geräte auch aus der Assetliste entfernt wurden. Auch für OT. 
Wie bekomme ich Daten von extern Anbietern oder Cloud wieder zurück wenn der Vertrag nicht mehr verlängert werden. Und wie wird Vertraglich sichergestellt das die Daten beim Provider gelöscht werden?
Auditorfragen: Disposal process der Infr. Assets für IT &amp;OT, Wichtiger Punkt: Übernahme von Daten (ext. SaaS) in REUTIB in der Verfügbarkeitsstellung, Wie oft kommt das in der REUTIB vor (Beispiele)</t>
  </si>
  <si>
    <t>RL Asset Mgmt. ist Basis, ggfs. daraus und aus der IT/OT Policy einen Standard erzeugen. OT muss hier besonders betrachtet werden. Anwendbarkeit und Nachweisbarkeite Asset Liste -&gt; OT und IT Matrix42 (prüfen ob alle Assets in Matrix 42 enthalten sind (hier gibt es eine neue Lizens für Asset Mgmt. (Mark/Patrick Alignment)
-&gt; Disposal Prozesse in OT einbringen und in prod etc. etablieren (ggfs. KPI !)</t>
  </si>
  <si>
    <t>Umsetzungsgegenstand:
Standardisierter Disposal-Prozess für IT- und OT-Assets sowie Datenrückführungs- und Löschnachweis-Klauseln in Cloud-/SaaS-Verträgen.
Prozessbezug:
VDA ISA 5.3.3 + 3.1.3; ISO 27001 A.5.10, A.7.14, A.8.10.
Workflow Items:
1. STD Asset-Disposal IT/OT (Owner: ISB + IT).
2. Asset-Liste-Sync mit Matrix42 (neue Asset-Mgmt-Lizenz M. Lütz / P. G.).
3. Vertragsklauseln Cloud-Exit (Datenrückführung, Löschnachweis).
4. KPI Disposal-Cycle.
Nachweis: STD, Disposal-Protokolle, Vertragsklauseln-Stichprobe.
Abhängigkeiten (Detail s. Spalte N):
→ baut auf F-021/F-008; treibt F-041</t>
  </si>
  <si>
    <t>Vorgelagert:
- Row 39 / F-021 / 3.1.3 (physisches Disposal-Verfahren)
- Row 25 / F-008 / 1.3.3 (externe IT-Dienste)
Nachgelagert:
- Row 59 / F-041 / 5.3.4 (Mandantentrennung)
Querverweise:
- Row 9 / F-001 / 1.1.1 (Klassifikation)</t>
  </si>
  <si>
    <t>Policy Framework:
- Verfahrensanweisung Cloud-Asset-Decommissioning
- Vertragsbestandteil Daten-Rückgabe/Löschung mit Nachweisanforderung
Standards:
- ISO/IEC 27017 (Cloud Security)
- ISO/IEC 27018 (PII in Cloud)
- NIST SP 800-88 (Media Sanitization, Cloud-Aspekte)
- VDA ISA 6.0.3 Kap. 5.3.3
Weitere Empfehlungen:
- Disposal-Nachweis je Cloud-Service archivieren
- Datenexport-Verfahren vor Decommissioning
- Mehrstufige Löschung (Soft-Delete + Hard-Delete + Backup-Purge)</t>
  </si>
  <si>
    <t>F-041</t>
  </si>
  <si>
    <t>5.3.4</t>
  </si>
  <si>
    <t>To what extent is information protected in shared external IT services?</t>
  </si>
  <si>
    <t>Inwieweit sind Informationen in gemeinsamen externen IT-Diensten geschützt?</t>
  </si>
  <si>
    <t xml:space="preserve"> Shared oder Private Cloud. selbst wenn getrennt durch Mandanten kann es sein das wir an die Daten nicht mehr rankommen weil Sie nicht sauber getrennt sind in einer “shared” Umgebung. Ggf. durch Risikobewertung lösen.
'Auditorfragen:  Datenseparation/Mandatentrennung durch OEM Auflagen; wichtig durchführung ISRA (Risk assessment for the operation of external software within the shared environment), ob etwas auffällt.</t>
  </si>
  <si>
    <t>Vertragliche Exit Strategien mit Data-Safety und -Hand-Over Szenarien.
SaaS Assessment anwenden - existiert und wurde von Mark Luetz erzeugt, dann in ISRA übergeben.</t>
  </si>
  <si>
    <t>Umsetzungsgegenstand:
Risikobewertung der Mandantentrennung in Shared-Cloud-Diensten via ISRA und Definition vertraglicher Exit-Strategien mit Data-Safety- und Hand-Over-Szenarien.
Prozessbezug:
VDA ISA 5.3.4; ISO 27001 A.5.23.
Workflow Items:
1. SaaS-Assessment-Verfahren anwenden (vorhanden, M. Lütz) → ISRA-Übergabe.
2. ISRA-Eintrag je Shared-Cloud-Dienst.
3. Exit-Strategie-Vertragsklausel-Set (Legal + ISB).
4. Datenklassifikations-Check vor Cloud-Nutzung.
Nachweis: SaaS-Assessments, ISRA, Vertragsklauseln.
Abhängigkeiten (Detail s. Spalte N):
→ baut auf F-008/F-027; nutzt internes Cloud-Assessment-Tool</t>
  </si>
  <si>
    <t>Vorgelagert:
- Row 25 / F-008 / 1.3.3 (externe IT-Dienste)
- Row 45 / F-027 / 5.1.1 (Kryptografie für Mandantentrennung)
Nachgelagert:
- keine (Endpunkt im Service-Ketten-Pfad)
Querverweise:
- Row 58 / F-040 / 5.3.3 (Cloud-Disposal)
- Row 9 / F-001 / 1.1.1 (Klassifikation)</t>
  </si>
  <si>
    <t>Policy Framework:
- RL Cloud-Mandantentrennung (Single-Tenant für Hochsicherheit, Multi-Tenant nur mit dokumentierter Trennung)
- Cloud-Assessment-Tool (Reutter-intern, M. Lütz) konsequent anwenden
Standards:
- ISO/IEC 27017, ISO/IEC 27018
- BSI C5:2020 (Cloud-Sicherheitsanforderungen)
- CSA STAR
- VDA ISA 6.0.3 Kap. 5.3.4
Weitere Empfehlungen:
- Mandantentrennung-Nachweis vom Cloud-Provider einfordern (z. B. SOC 2 Type II)
- BYOK (Bring Your Own Key) bei Hochsicherheits-Daten
- Pentest-Klausel im Cloud-Vertrag (Recht auf Auditierung)</t>
  </si>
  <si>
    <t>F-042</t>
  </si>
  <si>
    <t>Supplier Relationships</t>
  </si>
  <si>
    <t>6.1.1</t>
  </si>
  <si>
    <t>To what extent is information security ensured among contractors and cooperation partners?</t>
  </si>
  <si>
    <t>Inwieweit wird Informationssicherheit zwischen Auftragnehmern und Kooperationspartnern gewährleistet?</t>
  </si>
  <si>
    <t>Umsetzung: Erfüllung Informationsicherheitsanforderungen der Lieferanten.
Aufnahme und Umsetzung mit Günther P. im Kontext der Supplier Chain &amp; 3rd Party RL
Standard und Workflows abbilden.
Erste Aktion: Liste bewerten (CIA Triag inkl BCM/DR) für Hohe/Kritische Supplier; da dürfte wenig herauskommen -&gt; Prozess und Workflow für Bestands- und Neukunden etablieren.</t>
  </si>
  <si>
    <t>Umsetzungsgegenstand:
Supplier-Information-Security-Management-Prozess mit Kategorisierung (CIA-Triage inkl. BCM/DR), regelmäßiger Bewertung und Workflow für Bestands- und Neulieferanten; Spiegelung von OEM-Vorgaben in eigener Lieferkette.
Prozessbezug:
VDA ISA 6.1.1; ISO 27001 A.5.19–A.5.22.
Workflow Items:
1. RL Supply Chain &amp; 3rd Party (Owner: Einkauf-Lead G. P. + ISB) — in Bearbeitung.
2. Kategorisierungsmatrix in 4 Stufen (kritisch / hoch / mittel / niedrig) inkl. OEM-Vorgabenspiegelung.
3. Initialbewertung Bestandslieferanten (Liste, CIA-Triage).
4. Neulieferanten-Onboarding-Workflow mit IS-Assessment.
5. Re-Bewertung (jährlich kritisch, alle 3 Jahre niedrig).
6. Wirksamkeitsnachweis über ISMS.
Nachweis: RL, Lieferantenregister, Onboarding-Workflow, Re-Bewertungsberichte.
Abhängigkeiten (Detail s. Spalte N):
→ baut auf F-001/F-005/F-003; treibt F-043/F-005/F-044</t>
  </si>
  <si>
    <t>Vorgelagert:
- Row 7 / F-001 / 1.1.1 (Policy-Rahmen)
- Row 21 / F-005 / 1.2.4 (OLA/SLA-Konzept)
- Row 15 / F-003 / 1.2.2 (OT-Lieferanten)
Nachgelagert:
- Row 61 / F-043 / 6.1.2 (NDA-Lifecycle)
- Row 22 / F-005 / 1.2.4 (externe Zugriffe)
- Row 62 / F-044 / 7.1.1 (Vertrags-Compliance)
Querverweise:
- Row 25 / F-008 / 1.3.3 (Cloud-Lieferanten)
- Row 57 / F-039 / 5.3.2 (Netzwerk-Provider)</t>
  </si>
  <si>
    <t>Policy Framework:
- RL Lieferanten-Informationssicherheits-Mgmt (mit Einkauf gemeinsam)
- Supplier-Risikoklassifizierung (kritisch / wesentlich / standard)
- Onboarding-Checkliste mit Pflicht-Assessment vor Vertragsabschluss
- Process Owner: Einkauf-Lead (Günther P.)
Standards:
- ISO/IEC 27001:2022 A.5.19-A.5.23
- ISO/IEC 27036-1/-2/-3 (Supplier Relationships)
- IEC 62443-2-4 (OT-Dienstleister)
- VDA ISA 6.0.3 Kap. 6.1.1
Regulatorisch:
- NIS-2 Art. 21(2)(d) (Lieferketten-Sicherheit)
Weitere Empfehlungen:
- Vendor-Risk-Scorecard (jährliche Re-Bewertung)
- Kritische Lieferanten: TISAX-Label-Nachweis fordern
- Einkauf-IS-Schulung als Pflicht-Modul (TTT-Phase 3)</t>
  </si>
  <si>
    <t>Supplier Chain, PM (PMO), Sales inkludieren, auch für Plants relevant</t>
  </si>
  <si>
    <t>F-043</t>
  </si>
  <si>
    <t>6.1.2</t>
  </si>
  <si>
    <t>To what extent is non-disclosure regarding the exchange of information contractually agreed?</t>
  </si>
  <si>
    <t>Inwieweit ist die Nichtoffenlegung bezüglich des Informationsaustauschs vertraglich vereinbart?</t>
  </si>
  <si>
    <t>Hier nochmal gegenprüfen und keine NDA Vorlagen akzeptieren und wenn dann nur wenn die Anforderungen gegeben sind. 
Ein Prozess, mit dem die Gültigkeitsdauer von befristeten Geheimhaltungsvereinbarungen überwacht und rechtzeitig eine Verlängerung der Geheimhaltungsvereinbarungen angestoßen wird, ist definiert und umgesetzt.
Sind die TISAX Vorgaben in den NDAs enthalten und nicht vertraglich teil/ausgeschlossen?
Prozess für notwendige NDA Verlängerung bei Auslaufen des NDA ist aktuell nicht vorhanden.
-&gt; Supply Chain und/oder PM ist für Verlängerung verantwortlich.
NDA handling in Policy vorhanden?!</t>
  </si>
  <si>
    <t>Fokus: NDAs Vorgabe -&gt; REUTIB NDAs sind maßgebend
Supplier Chain &amp; 3rd Party RL prüfen für NDA Handling.</t>
  </si>
  <si>
    <t>Umsetzungsgegenstand:
Standardisierung des NDA-Handlings mit REUTIB-eigenen Vorlagen (keine fremden NDA-Vorlagen ohne IS-Konformitätsprüfung); NDA-Lifecycle-Prozess mit rechtzeitiger Verlängerung.
Prozessbezug:
VDA ISA 6.1.2; ISO 27001 A.5.14, A.6.6.
Workflow Items:
1. REUTIB-NDA-Standardvorlagen (Owner: Legal + ISB).
2. NDA-Repository mit Laufzeit-Tracking + Reminder.
3. Verlängerungs-Workflow (Owner: Supply Chain / PM).
4. NDA-Konformitätsprüfung gegen TISAX-Anforderungen.
Nachweis: Vorlagen, NDA-Register mit Status, Verlängerungs-Logs.
Abhängigkeiten (Detail s. Spalte N):
→ baut auf F-001/F-003/F-042; treibt F-017/F-028</t>
  </si>
  <si>
    <t>Vorgelagert:
- Row 7 / F-001 / 1.1.1 (Policy-Rahmen)
- Row 17 / F-003 / 1.2.2 (IS in Projekten/NDA)
- Row 60 / F-042 / 6.1.1 (Supplier-Mgmt)
Nachgelagert:
- Row 35 / F-017 / 2.1.2 (Vertragsklauseln Mitarbeiter)
- Row 46 / F-028 / 5.1.2 (Verschlüsselter Versand vertraulicher Verträge)
Querverweise:
- Row 62 / F-044 / 7.1.1 (Vertrags-Compliance)</t>
  </si>
  <si>
    <t>Policy Framework:
- RL NDA-Lifecycle (Abschluss → Aktualisierung → Beendigung)
- Reutter-NDA-Vorlagen-Set (intern, extern, Lieferant, OEM) — durch Anwalt geprüft
- NDA-Tracker mit Ablauf-Erinnerungen
Standards:
- ISO/IEC 27001:2022 A.5.13, A.6.6
- VDA ISA 6.0.3 Kap. 6.1.2
Regulatorisch:
- DSGVO Art. 28 (Auftragsverarbeiter-Verträge — falls personenbezogene Daten)
Weitere Empfehlungen:
- Verbindlich: ausschließlich Reutter-NDA-Vorlagen akzeptieren (keine Gegenpartei-NDAs ohne Legal-Review)
- Digitales Vertragsmgmt-System mit elektronischer Signatur
- Lebenszyklus-Dokumentation (auch Beendigung mit Daten-Rückgabe)</t>
  </si>
  <si>
    <t>Supplier Chain, PM (PMO), Sales inkludieren, auch für Plants relevant, GL</t>
  </si>
  <si>
    <t>F-044</t>
  </si>
  <si>
    <t>Compliance</t>
  </si>
  <si>
    <t>7.1.1</t>
  </si>
  <si>
    <t>To what extent is compliance with regulatory and contractual provisions ensured?</t>
  </si>
  <si>
    <t>Inwieweit ist die Einhaltung regulatorischer und vertraglicher Bestimmungen gewährleistet?</t>
  </si>
  <si>
    <t>In jedem Land muss es ein verantwortlichen geben, wo ist das definiert? Wer prüft die Verträge im Hinblick auf auf die Informationssicherheit und steuert diese Infos dann in der Gruppe ein. 
Auch im Projekt, es muss sichergestellt sein das die Beteiligten die Infos kennen die der Vertrieb ggf. vertraglich mit dem Kunden vereinbart hat.
Runterbrechen, Welche Verträge gibt es überhaupt? Eine Richtlinie die den WF beschreibt wie mit den Anforderungen / Verträgen umgegangen wird. Da wir einige Länder und Lokationen haben denkt er das dies interessant beim Audit sein könnte.
Vertragsprüfung (PSA Produkt Spezfischer Anhang) auf Gruppenebene für Vertrag und Anhang.
Verfahren für Transformation IT -&gt; SK (?!) für Vertragsebene im Projekt.
Wer prüft die Verträge im Hinblick auf Informationssicherheit und steuer diese Info's in der Gruppe ein -&gt; Prozess und Workflow für Kommunikation und Informtionsfluss der ges. Vereinbarungen Gruppenebene zu Plants (e.g.)
Länderübergreifend mit regionaler Verantwortlichkeit -&gt; Wo ist das definiert?</t>
  </si>
  <si>
    <t>RACI Adaption und Prüfung gegen jede Lokation für Verantwortlich. Vorgabe in RL, besser: Standard, Training.
Projekt mit einbeziehen.
Vertragsrespository (ggfs. aus versch. Quellen virtuell) aufbauen und zyklischen Prozess für Prüfung.
RL Supplier Chain &amp; 3rd Party gegenprüfen für Workflow Vorgabe (habe ich so aber gemacht / M. Lütz).</t>
  </si>
  <si>
    <t>Umsetzungsgegenstand:
Länderübergreifendes Compliance-/Vertragsmanagement mit lokalem Verantwortlichen pro Standort, zentralem Vertrags-Repository, IS-Vertragsprüfung und definiertem Informationsfluss Gruppenebene → Plants.
Prozessbezug:
VDA ISA 7.1.1; ISO 27001 A.5.31, A.5.34.
Workflow Items:
1. RACI-Adaption pro Standort (Owner: GL + Legal + ISB).
2. Vertrags-Repository (ggf. virtuell aus mehreren Quellen).
3. PSA-Prüfung auf Gruppenebene (Produktspezifischer Anhang).
4. Workflow Sales → Projekt → Plant für vertragliche IS-Anforderungen.
5. Trainings für regionale Verantwortliche.
Nachweis: RACI, Repository, Vertragsprüfprotokolle, Trainingsnachweise.
Abhängigkeiten (Detail s. Spalte N):
→ baut auf F-001/F-042; treibt F-045</t>
  </si>
  <si>
    <t>Vorgelagert:
- Row 7 / F-001 / 1.1.1 (Doku-Lenkung)
- Row 60 / F-042 / 6.1.1 (Supplier-Mgmt)
Nachgelagert:
- Row 63 / F-045 / 7.1.2 (Datenschutz pro Land)
Querverweise:
- Row 61 / F-043 / 6.1.2 (NDA als Vertragsbestandteil)
- Row 16 / F-003 / 1.2.2 (ISB im Organigramm)</t>
  </si>
  <si>
    <t>Policy Framework:
- Compliance-Mgmt-System (CMS) mit IS-Aspekt
- Vertragsmanagement mit IS-Klauseln-Pflicht
- Verantwortlichkeiten je Land (Country Compliance Officer)
Standards:
- ISO/IEC 27001:2022 A.5.31, A.5.32, A.5.34
- ISO 37301 (Compliance-Mgmt)
- VDA ISA 6.0.3 Kap. 7.1.1
Regulatorisch:
- NIS-2 Umsetzungsgesetze DE / NIS-2 in AT / SK / PL
- EU AI Act (Vorbereitung, sofern KI-Einsatz)
- CRA (Cyber Resilience Act)
Weitere Empfehlungen:
- Compliance-Radar mit länderspezifischen Trackern
- Jährliche Compliance-Review im Management Review</t>
  </si>
  <si>
    <t>Supplier Chain, 3rd Party handling inkl. Legal, GL und Plants</t>
  </si>
  <si>
    <t>F-045</t>
  </si>
  <si>
    <t>7.1.2</t>
  </si>
  <si>
    <t>To what extent is the protection of personally identifiable data considered when implementing information security?</t>
  </si>
  <si>
    <t>Inwieweit wird der Schutz personenbezogener Daten bei der Implementierung der Informationssicherheit berücksichtigt?</t>
  </si>
  <si>
    <t>Auch hier auf die Länder runterbrechen. Selbst wenn wir einn externen DSB haben brauchen wir lokale verantwortliche. Diese müssen definiert sein und wissen wo sie sich bei welchen Fällen melden können. Manchmal sind auch lokale Behörden zu informieren, dies muss auch in die Beschreibung. Die info muss an alle raus, jeder muss wissen an wen er sich bei was wenden muss.
Globaler DPO für alle pan-EU Regionen analog GPDR
Prozess und Meldewesen für Data Breach etc.
Policies in SK und PL und der Prozess für Verantwortlichkeiten.
Wenn Darstellungen fehlen, dann Level 2</t>
  </si>
  <si>
    <t>Bestellung DSB in QBD.net ablegen. Lokale int. DSOs
Policy Datenschutz noch in SK, PL und SP überführen (Anmerkung Mark Lütz: ggfs. sollten wir die RL Videoüberwachung mit den nationalen Ausprägungen noch in den gleichen Data Privacy Prozessbereich überführen inkl. der Standards (liegen in allen Sprachen vor auch MX/IN).
Hinweis: Etablierung einer Vorgabe nach DSGVO/EU GPDR für die MA Daten fehlt aktuell noch. (Ist nicht im HR Prozess verdrahtet)</t>
  </si>
  <si>
    <t>Umsetzungsgegenstand:
Länderspezifische Datenschutz-Governance mit globalem DPO und lokalen Datenschutzkoordinatoren (DSO) für SK/PL/SP; Übersetzung der Datenschutz- und Videoüberwachungs-RL; HR-DSGVO-Vorgabe für MA-Daten.
Prozessbezug:
VDA ISA 7.1.2; DSGVO Art. 24, 28, 33–34, 37.
Workflow Items:
1. Bestellungsdokumentation DPO in QBD.net (Owner: ISB + Legal).
2. Benennung lokaler DSOs (SK / PL / SP).
3. Übersetzung Datenschutz-RL und Videoüberwachungs-RL je Land (auch MX/IN).
4. HR-DSGVO-Modul für Mitarbeiterdaten.
5. Data-Breach-Meldewege je Land + zuständige Aufsichtsbehörden.
Nachweis: Bestellungsurkunde, DSO-Liste, übersetzte RL, Meldewege.
Abhängigkeiten (Detail s. Spalte N):
→ baut auf F-016/F-044/F-032; länderspezifische Umsetzung DE/AT/SK/PL</t>
  </si>
  <si>
    <t>Vorgelagert:
- Row 34 / F-016 / 2.1.1 (HR-Datenschutz)
- Row 62 / F-044 / 7.1.1 (Compliance-Rahmen)
- Row 50 / F-032 / 5.2.4 (Logging-Datenschutz)
Nachgelagert:
- keine (länderspezifischer Endpunkt)
Querverweise:
- Row 61 / F-043 / 6.1.2 (AV-Verträge gem. Art. 28 DSGVO)
- Row 31 / F-013 / 1.6.1 (Datenschutzvorfälle Art. 33/34)</t>
  </si>
  <si>
    <t>Policy Framework:
- Datenschutz-Mgmt-System (DSMS) je Standort
- Verarbeitungsverzeichnis je Werk (Art. 30 DSGVO)
- AV-Vertragsvorlagen je Lieferant
- DSFA-Prozess (Datenschutz-Folgenabschätzung)
Standards:
- ISO/IEC 27701:2019 (PIMS)
- ISO/IEC 27001:2022 A.5.34
- VDA ISA 6.0.3 Kap. 7.1.2
Regulatorisch:
- DSGVO/GDPR (alle 4 Länder)
- DE: BDSG-neu
- AT: DSG
- SK: Zákon č. 18/2018 Z. z.
- PL: Ustawa o ochronie danych osobowych
Weitere Empfehlungen:
- Lokale Datenschutzbeauftragte (DSO) je Land mit aktiver Funktion
- Cross-Border-Datentransfer dokumentieren (Art. 44 ff. DSGVO)
- Schulung Datenschutz als verpflichtendes TTT-Modul</t>
  </si>
  <si>
    <t>GL, Legal, ISB, DSB und Plants, inkl. Lokationen DE/AT, MX/IN</t>
  </si>
  <si>
    <t>(Alle)</t>
  </si>
  <si>
    <t>Count</t>
  </si>
  <si>
    <t>Prio</t>
  </si>
  <si>
    <t>Zeilenbeschriftungen</t>
  </si>
  <si>
    <t>(Leer)</t>
  </si>
  <si>
    <t>Gesamtergebnis</t>
  </si>
  <si>
    <t>TISAX Finding Dashboard</t>
  </si>
  <si>
    <t>Kennzahl</t>
  </si>
  <si>
    <t>Formel</t>
  </si>
  <si>
    <t>Wert</t>
  </si>
  <si>
    <t>Gesamtanzahl Kontrollen</t>
  </si>
  <si>
    <t>COUNTA('TISAX Finding Register'!A4:A82)</t>
  </si>
  <si>
    <t>Findings erfasst (mit Typ)</t>
  </si>
  <si>
    <t>COUNTIF('TISAX Finding Register'!F4:F82,"&lt;&gt;")</t>
  </si>
  <si>
    <t>Major Non-Conformities</t>
  </si>
  <si>
    <t>COUNTIF('TISAX Finding Register'!F4:F82,"Major NC")</t>
  </si>
  <si>
    <t>Minor Non-Conformities</t>
  </si>
  <si>
    <t>COUNTIF('TISAX Finding Register'!F4:F82,"Minor NC")</t>
  </si>
  <si>
    <t>Observations</t>
  </si>
  <si>
    <t>COUNTIF('TISAX Finding Register'!F4:F82,"Observation")</t>
  </si>
  <si>
    <t>OFIs</t>
  </si>
  <si>
    <t>COUNTIF('TISAX Finding Register'!F4:F82,"OFI")</t>
  </si>
  <si>
    <t>Status: Offen</t>
  </si>
  <si>
    <t>COUNTIF('TISAX Finding Register'!O4:O82,"Offen")</t>
  </si>
  <si>
    <t>Status: In Bearbeitung</t>
  </si>
  <si>
    <t>COUNTIF('TISAX Finding Register'!O4:O82,"In Bearbeitung")</t>
  </si>
  <si>
    <t>Status: Umgesetzt</t>
  </si>
  <si>
    <t>COUNTIF('TISAX Finding Register'!O4:O82,"Umgesetzt")</t>
  </si>
  <si>
    <t>Status: Verifiziert</t>
  </si>
  <si>
    <t>COUNTIF('TISAX Finding Register'!O4:O82,"Verifiziert")</t>
  </si>
  <si>
    <t>Priorität: Kritisch</t>
  </si>
  <si>
    <t>COUNTIF('TISAX Finding Register'!N4:N82,"Kritisch")</t>
  </si>
  <si>
    <t>Priorität: Hoch</t>
  </si>
  <si>
    <t>COUNTIF('TISAX Finding Register'!N4:N82,"Hoch")</t>
  </si>
  <si>
    <t>Standort DE</t>
  </si>
  <si>
    <t>COUNTIF('TISAX Finding Register'!M4:M82,"DE")</t>
  </si>
  <si>
    <t>Standort AT</t>
  </si>
  <si>
    <t>COUNTIF('TISAX Finding Register'!M4:M82,"AT")</t>
  </si>
  <si>
    <t>Standort SK</t>
  </si>
  <si>
    <t>COUNTIF('TISAX Finding Register'!M4:M82,"SK")</t>
  </si>
  <si>
    <t>Standort PL</t>
  </si>
  <si>
    <t>COUNTIF('TISAX Finding Register'!M4:M82,"PL")</t>
  </si>
  <si>
    <t>TISAX Finding Register — Importanleitung für MS Lists</t>
  </si>
  <si>
    <t>1. IMPORT IN MICROSOFT LISTS</t>
  </si>
  <si>
    <t xml:space="preserve">   • Öffne Microsoft Lists (über Teams oder lists.microsoft.com)</t>
  </si>
  <si>
    <t xml:space="preserve">   • Klicke 'Neue Liste' → 'Aus Excel'</t>
  </si>
  <si>
    <t xml:space="preserve">   • Wähle diese Datei und das Sheet 'TISAX Finding Register'</t>
  </si>
  <si>
    <t xml:space="preserve">   • Prüfe die Spaltentypen (Text, Choice, Number, Date)</t>
  </si>
  <si>
    <t xml:space="preserve">   • Choice-Spalten: Finding-Typ, Standort, Priorität, Status mit Dropdown</t>
  </si>
  <si>
    <t>2. SPALTEN-KONFIGURATION IN LISTS</t>
  </si>
  <si>
    <t xml:space="preserve">   • Finding-ID: Einzelne Textzeile</t>
  </si>
  <si>
    <t xml:space="preserve">   • ISA Modul / Kapitel / Kontrollfrage: Mehrzeiliger Text</t>
  </si>
  <si>
    <t xml:space="preserve">   • Finding-Typ: Choice (Major NC, Minor NC, Observation, OFI, Conformity)</t>
  </si>
  <si>
    <t xml:space="preserve">   • Reifegrad IST / SOLL: Number (0-5)</t>
  </si>
  <si>
    <t xml:space="preserve">   • Standort: Choice (DE, AT, SK, PL, Alle)</t>
  </si>
  <si>
    <t xml:space="preserve">   • Priorität: Choice (Kritisch, Hoch, Mittel, Niedrig)</t>
  </si>
  <si>
    <t xml:space="preserve">   • Status: Choice (Offen, In Bearbeitung, Umgesetzt, Verifiziert, Akzeptiert)</t>
  </si>
  <si>
    <t xml:space="preserve">   • Verantwortlich: Person-Spalte (nach Import ändern!)</t>
  </si>
  <si>
    <t xml:space="preserve">   • Frist: Date-Spalte</t>
  </si>
  <si>
    <t xml:space="preserve">   • Nachweis: Hyperlink oder Attachment (nach Import konfigurieren)</t>
  </si>
  <si>
    <t>3. VIEWS EINRICHTEN</t>
  </si>
  <si>
    <t xml:space="preserve">   • 'Alle Findings' — Standardview, gefiltert auf Finding-Typ &lt;&gt; leer</t>
  </si>
  <si>
    <t xml:space="preserve">   • 'Offene Findings' — Filter: Status = Offen ODER In Bearbeitung</t>
  </si>
  <si>
    <t xml:space="preserve">   • 'Pro Standort' — Gruppiert nach Standort</t>
  </si>
  <si>
    <t xml:space="preserve">   • 'Major NCs' — Filter: Finding-Typ = Major NC</t>
  </si>
  <si>
    <t xml:space="preserve">   • 'Überfällig' — Filter: Frist &lt; Heute UND Status &lt;&gt; Verifiziert</t>
  </si>
  <si>
    <t>4. BEDINGTE FORMATIERUNG</t>
  </si>
  <si>
    <t xml:space="preserve">   • Status 'Offen' + Priorität 'Kritisch' → Rot hinterlegen</t>
  </si>
  <si>
    <t xml:space="preserve">   • Status 'Verifiziert' → Grün hinterlegen</t>
  </si>
  <si>
    <t xml:space="preserve">   • Frist überschritten → Zeile orange markieren</t>
  </si>
  <si>
    <t>5. POWER AUTOMATE (optional)</t>
  </si>
  <si>
    <t xml:space="preserve">   • Erinnerung 7 Tage vor Frist an Verantwortlichen</t>
  </si>
  <si>
    <t xml:space="preserve">   • Eskalation an ISO wenn Frist überschritten</t>
  </si>
  <si>
    <t xml:space="preserve">   • Wöchentlicher Status-Report an Management</t>
  </si>
  <si>
    <t>6. TEAMS-INTEGRATION</t>
  </si>
  <si>
    <t xml:space="preserve">   • Liste als Tab im Teams-Kanal 'TISAX Findings' einbetten</t>
  </si>
  <si>
    <t xml:space="preserve">   • Dashboard-Sheet kann als Excel-Tab daneben eingebettet werden</t>
  </si>
  <si>
    <t xml:space="preserve">   • SharePoint Doc Library für Nachweisdokumente als weiteren Tab</t>
  </si>
  <si>
    <t>HINWEIS: Reifegrad SOLL ist auf 3 vorbelegt (= AL2 Mindestanforderung).</t>
  </si>
  <si>
    <t>Für AL3 auf 4 ändern. Die Gap-Spalte berechnet automatisch die Differenz.</t>
  </si>
  <si>
    <t>Basierend auf VDA ISA 6.0.3 — Stand März 2026</t>
  </si>
  <si>
    <t>X-Referenzen zu StageReview Findings</t>
  </si>
  <si>
    <t xml:space="preserve"> Complete Remediation Scope </t>
  </si>
  <si>
    <t>Erstellung einer Richtlinie zur Dokumentenlenkung im CAQ QBD.net (BOS/ISM), inklusive Terminologie für Dateinamen, wie auch der Regelungen der Verantwortlichkeiten im BOS/ISM Kontext,</t>
  </si>
  <si>
    <t>Awareness Sales und KAMs</t>
  </si>
  <si>
    <t xml:space="preserve">Umsetzungsgegenstand:
Awareness Sales und KAMs
</t>
  </si>
  <si>
    <t>Sales Hubertus Linz</t>
  </si>
  <si>
    <t xml:space="preserve">Vorgelagert:
- keine
Nachgelagert:
- ALLE Findings mit AL3-Reifegrad-Erwartung (Ist-Bewertung)
</t>
  </si>
  <si>
    <t xml:space="preserve">Vorgelagert:
- Row 7 / F-001 / 1.1.1 (Dokumentenlenkungs-RL liefert Versionierung)
Nachgelagert:
- ALLE Findings (Spalte S Nachweis/Link muss Dokumentenkopf erfüllen)
</t>
  </si>
  <si>
    <t>Vorgelagert:
- keine (Fundamentbaustein)
Nachgelagert (Voraussetzung für):
Gegenprüfung für Anwendbarkeit und Verantwortung benannter QS-Engineers bzw. Responsbies in den Standorten.</t>
  </si>
  <si>
    <r>
      <t xml:space="preserve">Vorgelagert:
- Row 7 / F-001 / 1.1.1 (Dokumentenlenkungs-RL)
Nachgelagert:
- ALLE Policies/Verfahrensanweisungen (Review-Pflicht)
</t>
    </r>
    <r>
      <rPr>
        <sz val="11"/>
        <color rgb="FFFF0000"/>
        <rFont val="Arial"/>
        <family val="2"/>
      </rPr>
      <t>Querverweise:
- Row 5 / F-General (Catalogue-Metadaten)</t>
    </r>
  </si>
  <si>
    <t>Auditor-Standartfrage ist hier: Gibt es ein Verfahren oder Vorgaben wie Lieferanten Ihre Informationssicherherheitsanforderungen erfüllen. Das auch in Regelmäßigen abständen überprüft wird. 
Was ist ein Lieferant was ist ein externer DL oder IT DL? 
NUR AUS INFOSEC BETRACHTEN 
Wer Kategorisiert die Lieferanten und ist das beschrieben? Informationssicherheitsrelevante Lieferanten identifizieren.
Müssen auf unsere Kundenverträge schauen. Dort wird manchmal die Kategorie vorgegeben und wir müssen die dann weitergeben. Also wenn ein Kunde uns als kritischen Lieferanten einstuft dann müssen wir das bei unseren Lieferanten auch machen.
'Standardfrage: Wie werden die Informationsicherheitsanforderungen der OEMs erfüllt.
Supplier Chain &amp; Third Party Policy
Review Mechanismus über Liste und Policy
All Lieferanten sollten bewertet werden -&gt; Informationssicherheitsrelevante Lieferanten (Welcher Supplier ist wirklich sicherheitsrelevant? CIA) -&gt; vertragliche Relefanz (CIA Triage)
4 Einstufungen -&gt; gegeben, inkl. regelmäßiger Überprüfung
Verantwortlichkeiten Einstufung und wer prüft.
Wie wird die Durchführung hier für Wirksamkeitsnachweis geprüft -&gt; ISMS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</si>
</sst>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4"/>
      <color rgb="FFFFFFFF"/>
      <name val="Arial"/>
      <family val="2"/>
    </font>
    <font>
      <b/>
      <sz val="10"/>
      <color rgb="FFFFFFFF"/>
      <name val="Arial"/>
      <family val="2"/>
    </font>
    <font>
      <b/>
      <sz val="11"/>
      <name val="Arial"/>
      <family val="2"/>
    </font>
    <font>
      <sz val="10"/>
      <color rgb="FF333333"/>
      <name val="Arial"/>
      <family val="2"/>
    </font>
    <font>
      <b/>
      <sz val="11"/>
      <color rgb="FF1F3864"/>
      <name val="Arial"/>
      <family val="2"/>
    </font>
    <font>
      <b/>
      <sz val="10"/>
      <color rgb="FF333333"/>
      <name val="Arial"/>
      <family val="2"/>
    </font>
    <font>
      <sz val="9"/>
      <color rgb="FF333333"/>
      <name val="Arial"/>
      <family val="2"/>
    </font>
    <font>
      <sz val="14"/>
      <name val="Arial"/>
      <family val="2"/>
    </font>
    <font>
      <sz val="14"/>
      <color rgb="FF999999"/>
      <name val="Arial"/>
      <family val="2"/>
    </font>
    <font>
      <b/>
      <sz val="14"/>
      <name val="Arial"/>
      <family val="2"/>
    </font>
    <font>
      <sz val="11"/>
      <name val="Arial"/>
      <family val="2"/>
    </font>
    <font>
      <sz val="11"/>
      <color rgb="FFFF0000"/>
      <name val="Arial"/>
      <family val="2"/>
    </font>
    <font>
      <sz val="11"/>
      <color theme="1"/>
      <name val="Arial"/>
      <family val="2"/>
    </font>
    <font>
      <sz val="11"/>
      <name val="Arial"/>
      <family val="2"/>
    </font>
  </fonts>
  <fills count="19">
    <fill>
      <patternFill patternType="none"/>
    </fill>
    <fill>
      <patternFill patternType="gray125"/>
    </fill>
    <fill>
      <patternFill patternType="solid">
        <fgColor rgb="FF2E75B6"/>
        <bgColor rgb="FF0066CC"/>
      </patternFill>
    </fill>
    <fill>
      <patternFill patternType="solid">
        <fgColor rgb="FF1F3864"/>
        <bgColor rgb="FF333333"/>
      </patternFill>
    </fill>
    <fill>
      <patternFill patternType="solid">
        <fgColor rgb="FFFFFFFF"/>
        <bgColor rgb="FFF2F2F2"/>
      </patternFill>
    </fill>
    <fill>
      <patternFill patternType="solid">
        <fgColor rgb="FFF2F2F2"/>
        <bgColor rgb="FFFFFFFF"/>
      </patternFill>
    </fill>
    <fill>
      <patternFill patternType="solid">
        <fgColor theme="4"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499984740745262"/>
        <bgColor indexed="64"/>
      </patternFill>
    </fill>
    <fill>
      <patternFill patternType="solid">
        <fgColor rgb="FFFFC000"/>
        <bgColor indexed="64"/>
      </patternFill>
    </fill>
    <fill>
      <patternFill patternType="solid">
        <fgColor rgb="FFFF0000"/>
        <bgColor indexed="64"/>
      </patternFill>
    </fill>
    <fill>
      <patternFill patternType="solid">
        <fgColor rgb="FFFF0000"/>
        <bgColor rgb="FFFFFFFF"/>
      </patternFill>
    </fill>
    <fill>
      <patternFill patternType="solid">
        <fgColor rgb="FFFFC000"/>
        <bgColor rgb="FFFFFFFF"/>
      </patternFill>
    </fill>
    <fill>
      <patternFill patternType="solid">
        <fgColor rgb="FFFFC000"/>
        <bgColor rgb="FFF2F2F2"/>
      </patternFill>
    </fill>
    <fill>
      <patternFill patternType="solid">
        <fgColor rgb="FFFFFF00"/>
        <bgColor rgb="FFF2F2F2"/>
      </patternFill>
    </fill>
    <fill>
      <patternFill patternType="solid">
        <fgColor rgb="FFFF0000"/>
        <bgColor rgb="FFF2F2F2"/>
      </patternFill>
    </fill>
    <fill>
      <patternFill patternType="solid">
        <fgColor rgb="FFFFFF00"/>
        <bgColor rgb="FFFFFFFF"/>
      </patternFill>
    </fill>
    <fill>
      <patternFill patternType="solid">
        <fgColor rgb="FFFFFF00"/>
        <bgColor indexed="64"/>
      </patternFill>
    </fill>
  </fills>
  <borders count="4">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74">
    <xf numFmtId="0" fontId="0" fillId="0" borderId="0" xfId="0"/>
    <xf numFmtId="0" fontId="2" fillId="3" borderId="1" xfId="0" applyFont="1" applyFill="1" applyBorder="1" applyAlignment="1">
      <alignment horizontal="center" vertical="center" wrapText="1"/>
    </xf>
    <xf numFmtId="0" fontId="4" fillId="0" borderId="0" xfId="0" applyFont="1"/>
    <xf numFmtId="0" fontId="5" fillId="0" borderId="0" xfId="0" applyFont="1"/>
    <xf numFmtId="0" fontId="6" fillId="0" borderId="0" xfId="0" applyFont="1"/>
    <xf numFmtId="0" fontId="7" fillId="0" borderId="0" xfId="0" applyFont="1"/>
    <xf numFmtId="0" fontId="1" fillId="3" borderId="1" xfId="0" applyFont="1" applyFill="1" applyBorder="1"/>
    <xf numFmtId="0" fontId="8" fillId="5" borderId="1" xfId="0" applyFont="1" applyFill="1" applyBorder="1"/>
    <xf numFmtId="0" fontId="9" fillId="5" borderId="1" xfId="0" applyFont="1" applyFill="1" applyBorder="1"/>
    <xf numFmtId="0" fontId="10" fillId="5" borderId="1" xfId="0" applyFont="1" applyFill="1" applyBorder="1" applyAlignment="1">
      <alignment horizontal="center"/>
    </xf>
    <xf numFmtId="0" fontId="8" fillId="0" borderId="1" xfId="0" applyFont="1" applyBorder="1"/>
    <xf numFmtId="0" fontId="9" fillId="0" borderId="1" xfId="0" applyFont="1" applyBorder="1"/>
    <xf numFmtId="0" fontId="10" fillId="0" borderId="1" xfId="0" applyFont="1" applyBorder="1" applyAlignment="1">
      <alignment horizontal="center"/>
    </xf>
    <xf numFmtId="0" fontId="0" fillId="0" borderId="0" xfId="0" applyAlignment="1">
      <alignment wrapText="1"/>
    </xf>
    <xf numFmtId="0" fontId="2" fillId="6"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1" fillId="4" borderId="1" xfId="0" applyFont="1" applyFill="1" applyBorder="1" applyAlignment="1">
      <alignment vertical="center" wrapText="1"/>
    </xf>
    <xf numFmtId="0" fontId="3" fillId="4" borderId="1" xfId="0" applyFont="1" applyFill="1" applyBorder="1" applyAlignment="1">
      <alignment horizontal="center" vertical="center"/>
    </xf>
    <xf numFmtId="0" fontId="11" fillId="5" borderId="1" xfId="0" applyFont="1" applyFill="1" applyBorder="1" applyAlignment="1">
      <alignment horizontal="center" vertical="center"/>
    </xf>
    <xf numFmtId="0" fontId="11" fillId="5" borderId="1" xfId="0" applyFont="1" applyFill="1" applyBorder="1" applyAlignment="1">
      <alignment vertical="center" wrapText="1"/>
    </xf>
    <xf numFmtId="0" fontId="3" fillId="5"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8" borderId="1" xfId="0" applyFont="1" applyFill="1" applyBorder="1" applyAlignment="1">
      <alignment horizontal="center" vertical="center"/>
    </xf>
    <xf numFmtId="0" fontId="2" fillId="9" borderId="1" xfId="0" applyFont="1" applyFill="1" applyBorder="1" applyAlignment="1">
      <alignment horizontal="center" vertical="center" wrapText="1"/>
    </xf>
    <xf numFmtId="14" fontId="11" fillId="5" borderId="1" xfId="0" applyNumberFormat="1" applyFont="1" applyFill="1" applyBorder="1" applyAlignment="1">
      <alignment vertical="center" wrapText="1"/>
    </xf>
    <xf numFmtId="0" fontId="11" fillId="4"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0" fillId="0" borderId="0" xfId="0" applyAlignment="1">
      <alignment horizontal="center"/>
    </xf>
    <xf numFmtId="14" fontId="11" fillId="4" borderId="1" xfId="0" applyNumberFormat="1" applyFont="1" applyFill="1" applyBorder="1" applyAlignment="1">
      <alignment vertical="center" wrapText="1"/>
    </xf>
    <xf numFmtId="0" fontId="11" fillId="10" borderId="1" xfId="0" applyFont="1" applyFill="1" applyBorder="1" applyAlignment="1">
      <alignment vertical="center" wrapText="1"/>
    </xf>
    <xf numFmtId="0" fontId="11" fillId="10" borderId="1" xfId="0" applyFont="1" applyFill="1" applyBorder="1" applyAlignment="1">
      <alignment horizontal="center" vertical="center" wrapText="1"/>
    </xf>
    <xf numFmtId="0" fontId="11" fillId="11" borderId="1" xfId="0" applyFont="1" applyFill="1" applyBorder="1" applyAlignment="1">
      <alignment vertical="center" wrapText="1"/>
    </xf>
    <xf numFmtId="0" fontId="11" fillId="11"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1" fillId="12" borderId="1" xfId="0" applyFont="1" applyFill="1" applyBorder="1" applyAlignment="1">
      <alignment vertical="center" wrapText="1"/>
    </xf>
    <xf numFmtId="0" fontId="11" fillId="13" borderId="1" xfId="0" applyFont="1" applyFill="1" applyBorder="1" applyAlignment="1">
      <alignment vertical="center" wrapText="1"/>
    </xf>
    <xf numFmtId="0" fontId="11" fillId="14" borderId="1" xfId="0" applyFont="1" applyFill="1" applyBorder="1" applyAlignment="1">
      <alignment vertical="center" wrapText="1"/>
    </xf>
    <xf numFmtId="0" fontId="11" fillId="14"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11" fillId="15" borderId="1" xfId="0" applyFont="1" applyFill="1" applyBorder="1" applyAlignment="1">
      <alignment vertical="center" wrapText="1"/>
    </xf>
    <xf numFmtId="0" fontId="11" fillId="16" borderId="1" xfId="0" applyFont="1" applyFill="1" applyBorder="1" applyAlignment="1">
      <alignment horizontal="center" vertical="center" wrapText="1"/>
    </xf>
    <xf numFmtId="0" fontId="11" fillId="16" borderId="1" xfId="0" applyFont="1" applyFill="1" applyBorder="1" applyAlignment="1">
      <alignment vertical="center" wrapText="1"/>
    </xf>
    <xf numFmtId="0" fontId="11" fillId="17" borderId="1" xfId="0" applyFont="1" applyFill="1" applyBorder="1" applyAlignment="1">
      <alignment horizontal="center" vertical="center" wrapText="1"/>
    </xf>
    <xf numFmtId="0" fontId="11" fillId="17" borderId="1" xfId="0" applyFont="1" applyFill="1" applyBorder="1" applyAlignment="1">
      <alignment vertical="center" wrapText="1"/>
    </xf>
    <xf numFmtId="0" fontId="11" fillId="1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11" fillId="18" borderId="1" xfId="0" applyFont="1" applyFill="1" applyBorder="1" applyAlignment="1">
      <alignment vertical="center" wrapText="1"/>
    </xf>
    <xf numFmtId="0" fontId="11" fillId="18" borderId="1" xfId="0" applyFont="1" applyFill="1" applyBorder="1" applyAlignment="1">
      <alignment horizontal="center" vertical="center" wrapText="1"/>
    </xf>
    <xf numFmtId="0" fontId="11" fillId="5" borderId="1" xfId="0" quotePrefix="1" applyFont="1" applyFill="1" applyBorder="1" applyAlignment="1">
      <alignment vertical="center" wrapText="1"/>
    </xf>
    <xf numFmtId="0" fontId="12" fillId="4" borderId="1" xfId="0" applyFont="1" applyFill="1" applyBorder="1" applyAlignment="1">
      <alignment vertical="center" wrapText="1"/>
    </xf>
    <xf numFmtId="0" fontId="12" fillId="5" borderId="1" xfId="0" applyFont="1" applyFill="1" applyBorder="1" applyAlignment="1">
      <alignment vertical="center" wrapText="1"/>
    </xf>
    <xf numFmtId="49" fontId="3" fillId="4" borderId="1" xfId="0" applyNumberFormat="1" applyFont="1" applyFill="1" applyBorder="1" applyAlignment="1">
      <alignment horizontal="center" vertical="center"/>
    </xf>
    <xf numFmtId="0" fontId="13" fillId="12" borderId="1" xfId="0" applyFont="1" applyFill="1" applyBorder="1" applyAlignment="1">
      <alignment vertical="center" wrapText="1"/>
    </xf>
    <xf numFmtId="0" fontId="13" fillId="15" borderId="1" xfId="0" applyFont="1" applyFill="1" applyBorder="1" applyAlignment="1">
      <alignment vertical="center" wrapText="1"/>
    </xf>
    <xf numFmtId="0" fontId="13" fillId="14" borderId="1" xfId="0" applyFont="1" applyFill="1" applyBorder="1" applyAlignment="1">
      <alignment vertical="center" wrapText="1"/>
    </xf>
    <xf numFmtId="0" fontId="13" fillId="16" borderId="1" xfId="0" applyFont="1" applyFill="1" applyBorder="1" applyAlignment="1">
      <alignment vertical="center" wrapText="1"/>
    </xf>
    <xf numFmtId="0" fontId="13" fillId="13" borderId="1" xfId="0" applyFont="1" applyFill="1" applyBorder="1" applyAlignment="1">
      <alignment vertical="center" wrapText="1"/>
    </xf>
    <xf numFmtId="0" fontId="13" fillId="17" borderId="1" xfId="0" applyFont="1" applyFill="1" applyBorder="1" applyAlignment="1">
      <alignment vertical="center" wrapText="1"/>
    </xf>
    <xf numFmtId="0" fontId="12" fillId="4" borderId="1" xfId="0" quotePrefix="1" applyFont="1" applyFill="1" applyBorder="1" applyAlignment="1">
      <alignment vertical="center" wrapText="1"/>
    </xf>
    <xf numFmtId="0" fontId="1" fillId="2" borderId="0" xfId="0" applyFont="1" applyFill="1"/>
    <xf numFmtId="0" fontId="11" fillId="4"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1" fillId="5" borderId="1" xfId="0" quotePrefix="1" applyFont="1" applyFill="1" applyBorder="1" applyAlignment="1">
      <alignment horizontal="left" vertical="top" wrapText="1"/>
    </xf>
    <xf numFmtId="0" fontId="12" fillId="5"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12" fillId="4" borderId="1" xfId="0" quotePrefix="1" applyFont="1" applyFill="1" applyBorder="1" applyAlignment="1">
      <alignment horizontal="left" vertical="top" wrapText="1"/>
    </xf>
    <xf numFmtId="0" fontId="14" fillId="0" borderId="3" xfId="0" applyFont="1" applyBorder="1" applyAlignment="1">
      <alignment horizontal="left" vertical="top" wrapText="1"/>
    </xf>
    <xf numFmtId="0" fontId="11" fillId="0" borderId="3" xfId="0" applyFont="1" applyBorder="1" applyAlignment="1">
      <alignment horizontal="left" vertical="top" wrapText="1"/>
    </xf>
    <xf numFmtId="0" fontId="1" fillId="2" borderId="0" xfId="0" applyFont="1" applyFill="1"/>
    <xf numFmtId="0" fontId="0" fillId="0" borderId="0" xfId="0"/>
  </cellXfs>
  <cellStyles count="1">
    <cellStyle name="Standard"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Lütz" refreshedDate="46149.481833564823" createdVersion="8" refreshedVersion="8" minRefreshableVersion="3" recordCount="62" xr:uid="{00000000-000A-0000-FFFF-FFFF00000000}">
  <cacheSource type="worksheet">
    <worksheetSource ref="A1:U63" sheet="TISAX Finding Register"/>
  </cacheSource>
  <cacheFields count="20">
    <cacheField name="Finding-ID" numFmtId="0">
      <sharedItems/>
    </cacheField>
    <cacheField name="ISA Modul" numFmtId="0">
      <sharedItems/>
    </cacheField>
    <cacheField name="Kapitel" numFmtId="0">
      <sharedItems/>
    </cacheField>
    <cacheField name="Kontroll-Nr." numFmtId="0">
      <sharedItems containsBlank="1"/>
    </cacheField>
    <cacheField name="Kontrollfrage (EN)" numFmtId="0">
      <sharedItems/>
    </cacheField>
    <cacheField name="Kontrollfrage (DE)" numFmtId="0">
      <sharedItems/>
    </cacheField>
    <cacheField name="Finding-Typ" numFmtId="0">
      <sharedItems containsBlank="1" count="4">
        <s v="Observation"/>
        <s v="Major NC"/>
        <s v="Minor NC"/>
        <m/>
      </sharedItems>
    </cacheField>
    <cacheField name="Finding-Beschreibung" numFmtId="0">
      <sharedItems containsBlank="1" longText="1"/>
    </cacheField>
    <cacheField name="Reifegrad IST (0-5)" numFmtId="0">
      <sharedItems containsString="0" containsBlank="1" containsNumber="1" containsInteger="1" minValue="1" maxValue="3"/>
    </cacheField>
    <cacheField name="Reifegrad SOLL" numFmtId="0">
      <sharedItems containsString="0" containsBlank="1" containsNumber="1" containsInteger="1" minValue="3" maxValue="4"/>
    </cacheField>
    <cacheField name="Gap" numFmtId="0">
      <sharedItems containsBlank="1" containsMixedTypes="1" containsNumber="1" containsInteger="1" minValue="0" maxValue="2"/>
    </cacheField>
    <cacheField name="Maßnahme" numFmtId="0">
      <sharedItems containsBlank="1" longText="1"/>
    </cacheField>
    <cacheField name="Verantwortlich" numFmtId="0">
      <sharedItems containsBlank="1" count="22">
        <s v="Roland Walter"/>
        <s v="Alle"/>
        <m/>
        <s v="Mark Lütz"/>
        <s v="ISB, IT, GL"/>
        <s v="SK/PL, HR, GL, ISB, OT/PROD."/>
        <s v="Mark Lütz (SK/PL -&gt; OT/PROD)"/>
        <s v="ISB, GL, Hubertus Linz, Günther P., Hannes P. P. Göttling"/>
        <s v="ISB"/>
        <s v="All"/>
        <s v="All + GL"/>
        <s v="Krisenmanagement"/>
        <s v="Krisenstabsorganisation und Prozess, ISB, Beteiligte"/>
        <s v="HR"/>
        <s v="ISB, Plant Manager, Facility Mgmt."/>
        <s v="IT, ISB"/>
        <s v="IT, OT, ISB"/>
        <s v="IT/OT"/>
        <s v="Supplier Chain, PM (PMO), Sales inkludieren, auch für Plants relevant"/>
        <s v="Supplier Chain, PM (PMO), Sales inkludieren, auch für Plants relevant, GL"/>
        <s v="Supplier Chain, 3rd Party handling inkl. Legal, GL und Plants"/>
        <s v="GL, Legal, ISB, DSB und Plants, inkl. Lokationen DE/AT, MX/IN"/>
      </sharedItems>
    </cacheField>
    <cacheField name="Standort" numFmtId="0">
      <sharedItems containsBlank="1" count="5">
        <s v="Alle"/>
        <m/>
        <s v="SK/PL"/>
        <s v="IT / SK / PL"/>
        <s v="DE/SK/PL"/>
      </sharedItems>
    </cacheField>
    <cacheField name="Priorität" numFmtId="0">
      <sharedItems containsBlank="1" count="5">
        <s v="Hoch"/>
        <m/>
        <s v="Mittel"/>
        <s v="Kritisch"/>
        <s v="Niedrig"/>
      </sharedItems>
    </cacheField>
    <cacheField name="Status" numFmtId="0">
      <sharedItems containsBlank="1" count="3">
        <s v="Offen"/>
        <m/>
        <s v="In Bearbeitung"/>
      </sharedItems>
    </cacheField>
    <cacheField name="Frist" numFmtId="0">
      <sharedItems containsNonDate="0" containsDate="1" containsString="0" containsBlank="1" minDate="2026-04-30T00:00:00" maxDate="2026-06-01T00:00:00"/>
    </cacheField>
    <cacheField name="Nachweis / Link" numFmtId="0">
      <sharedItems containsNonDate="0" containsString="0" containsBlank="1"/>
    </cacheField>
    <cacheField name="ISB-Kommentar" numFmtId="0">
      <sharedItems containsNonDate="0" containsString="0" containsBlank="1"/>
    </cacheField>
    <cacheField name="Ct."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62">
  <r>
    <s v="F-General"/>
    <s v="General Evidence in Catalogue"/>
    <s v="General"/>
    <m/>
    <s v="Automotive treatment by OEM"/>
    <s v="Automotive treatment by OEM"/>
    <x v="0"/>
    <s v="Die OEM´s versuchen Ihre Lieferanten auszusortieren, über diesen (TISAX) Vorwand, kommt auf die Auswahl an alternativen Lieferanten an. Wenn Preis gleich ist oder wenn ersetzbar. Wenn schwer ersatzbar dann ist TISAX wieder wichtig."/>
    <m/>
    <m/>
    <s v=""/>
    <s v="Ramsomware Angriff der Playramsomware Group 2024-10"/>
    <x v="0"/>
    <x v="0"/>
    <x v="0"/>
    <x v="0"/>
    <d v="2026-04-30T00:00:00"/>
    <m/>
    <m/>
    <n v="1"/>
  </r>
  <r>
    <s v="F-General"/>
    <s v="General Evidence in Catalogue"/>
    <s v="Row &quot;E&quot; more details for the &quot;how&quot; of the implementation description"/>
    <m/>
    <s v="To what extent are information security policies available?"/>
    <s v="Inwieweit sind Informationssicherheitsrichtlinien verfügbar?"/>
    <x v="0"/>
    <s v="Row E to be extended"/>
    <m/>
    <m/>
    <s v=""/>
    <s v="Klare Definition Richtlinie zur Dokumentenlenkung, Terminologie für Dateinamen, wer ist verantwortlich für Richtlinie (Einkauf, IT, etc.) -&gt; Dokumentenlenkungsrichtlinie _x000a_Überprüfungsdatum muss ersichtlich sein. Ist der Verantwortliche sichtbar im BOS. Vorlage für Policy. -&gt; Wie werden Richtlinien erstellt , wer die Verantwortung dafür hat, Namenskonventionen und Freigabeprozess. -&gt; Prüfung ob der Prozess- bzw. Dokumentenverantwortliche im BOS genannt und ersichtlich ist. -&gt; Prozess wie BOS sich verhält, wenn der jährliche Review nicht erfolgt ist (Policy Bestandteil)."/>
    <x v="0"/>
    <x v="0"/>
    <x v="0"/>
    <x v="0"/>
    <d v="2026-04-30T00:00:00"/>
    <m/>
    <m/>
    <n v="1"/>
  </r>
  <r>
    <s v="F-General"/>
    <s v="General Evidence in Catalogue"/>
    <s v="General"/>
    <m/>
    <s v="Unternehmensgrößen irrelevant"/>
    <s v="Dem Unternehmen angemessen” gibt es nicht."/>
    <x v="0"/>
    <s v="Unternehmensgröße wird nicht berücksichtigt. Wenn du AL3 willst musst du die Kontrollfragen beantworten. “"/>
    <m/>
    <m/>
    <m/>
    <s v="Keine Ausnahmen bei Wirksamkeitsnachweisen aufgrund Belegschaftsgröße bzw. Unternehmensgröße."/>
    <x v="1"/>
    <x v="0"/>
    <x v="0"/>
    <x v="1"/>
    <m/>
    <m/>
    <m/>
    <m/>
  </r>
  <r>
    <s v="F-General"/>
    <s v="Catalogue Row F"/>
    <s v=" Row &quot;F&quot; must include document name, version and date."/>
    <m/>
    <s v="To what extent are information security policies available?"/>
    <s v="Inwieweit sind Informationssicherheitsrichtlinien verfügbar?"/>
    <x v="0"/>
    <s v=" Row &quot;F&quot; must include document name, version and date."/>
    <m/>
    <n v="3"/>
    <m/>
    <s v="Bei F darauf achten das die Version und den Dokumentennamen + Datum in der excel ersichtlich ist"/>
    <x v="2"/>
    <x v="1"/>
    <x v="1"/>
    <x v="1"/>
    <m/>
    <m/>
    <m/>
    <n v="1"/>
  </r>
  <r>
    <s v="F-General"/>
    <s v="Control Verification"/>
    <s v="All Kapitel"/>
    <m/>
    <s v="To what extent are information security policies available?"/>
    <s v="Inwieweit sind Informationssicherheitsrichtlinien verfügbar?"/>
    <x v="1"/>
    <s v="Implementatin of workflows and evidences of training and enforcements"/>
    <m/>
    <n v="3"/>
    <m/>
    <s v="No Training, no enforcement of process according to control no Maturity Level 3"/>
    <x v="2"/>
    <x v="0"/>
    <x v="0"/>
    <x v="1"/>
    <m/>
    <m/>
    <m/>
    <n v="1"/>
  </r>
  <r>
    <s v="F-001"/>
    <s v="Information Security"/>
    <s v="IS Policies and Organization"/>
    <s v="1.1.1"/>
    <s v="To what extent are information security policies available?"/>
    <s v="Inwieweit sind Informationssicherheitsrichtlinien verfügbar?"/>
    <x v="2"/>
    <s v="Anforderung Erstellung BOS/ISM Dokumentenlenkungsrichtlinie"/>
    <n v="2"/>
    <n v="3"/>
    <n v="1"/>
    <s v="Erstellung ine Richtlinie zur Dokumentenlenkung im CAQ QBD.net (BOS/ISM), inklusive Terminologie für Dateinamen, wie auch der Regelungen der Verantwortlichkeiten im BOS/ISM Kontext,"/>
    <x v="0"/>
    <x v="0"/>
    <x v="0"/>
    <x v="2"/>
    <d v="2026-04-30T00:00:00"/>
    <m/>
    <m/>
    <n v="1"/>
  </r>
  <r>
    <s v="F-001"/>
    <s v="Information Security"/>
    <s v="IS Policies and Organization"/>
    <s v="1.1.1"/>
    <s v="To what extent are information security policies available?"/>
    <s v="Inwieweit sind Informationssicherheitsrichtlinien verfügbar?"/>
    <x v="2"/>
    <s v="Überprüfungsdatum muss ersichtlich sein"/>
    <n v="2"/>
    <n v="3"/>
    <n v="1"/>
    <s v="Nachprüfung und Ergänzung Reviewdatum muss  in der Policy nach Approval sichtbar sein."/>
    <x v="3"/>
    <x v="0"/>
    <x v="0"/>
    <x v="2"/>
    <d v="2026-04-30T00:00:00"/>
    <m/>
    <m/>
    <n v="1"/>
  </r>
  <r>
    <s v="F-001"/>
    <s v="Information Security"/>
    <s v="IS Policies and Organization"/>
    <s v="1.1.1"/>
    <s v="To what extent are information security policies available?"/>
    <s v="Inwieweit sind Informationssicherheitsrichtlinien verfügbar?"/>
    <x v="2"/>
    <s v="Alle Policies in der Klassifizierung auf &quot;Intern&quot; umstellen."/>
    <n v="2"/>
    <n v="3"/>
    <n v="1"/>
    <s v="Umstellung Klassifizierung auf &quot;Intern&quot;."/>
    <x v="3"/>
    <x v="0"/>
    <x v="0"/>
    <x v="0"/>
    <d v="2026-04-30T00:00:00"/>
    <m/>
    <m/>
    <n v="1"/>
  </r>
  <r>
    <s v="F-002"/>
    <s v="Information Security"/>
    <s v="IS Policies and Organization"/>
    <s v="1.2.1"/>
    <s v="To what extent is information security managed within the organization?"/>
    <s v="Inwieweit wird die Informationssicherheit innerhalb der Organisation verwaltet?"/>
    <x v="1"/>
    <s v="Security Incident Response Mgmt."/>
    <n v="2"/>
    <n v="3"/>
    <n v="1"/>
    <s v="Was sind &quot;Safety &amp; Security Vorfälle&quot;, aktuell gibt es keine Beschreibung. Aufnahme Meldekette und entspr. Saftey &amp; Sec. Incident Mailbox. Anpassung PROC für Prozessimplementierung, POL anpassen (inkl. Beispiele), Guideline aufbauen und STD für die entspr. Bereiche, inkl. Trainings in den Sprachversionen."/>
    <x v="4"/>
    <x v="0"/>
    <x v="0"/>
    <x v="0"/>
    <d v="2026-05-15T00:00:00"/>
    <m/>
    <m/>
    <n v="1"/>
  </r>
  <r>
    <s v="F-002"/>
    <s v="Information Security"/>
    <s v="IS Policies and Organization"/>
    <s v="1.2.1"/>
    <s v="To what extent is information security managed within the organization?"/>
    <s v="Inwieweit wird die Informationssicherheit innerhalb der Organisation verwaltet?"/>
    <x v="1"/>
    <s v="Audit Programm u. Verantwortlichkeiten fehlen."/>
    <n v="2"/>
    <n v="3"/>
    <n v="1"/>
    <s v="Internes Auditprogramm, wann , wer und wo definiert."/>
    <x v="3"/>
    <x v="0"/>
    <x v="2"/>
    <x v="0"/>
    <d v="2026-05-15T00:00:00"/>
    <m/>
    <m/>
    <n v="1"/>
  </r>
  <r>
    <s v="F-002"/>
    <s v="Information Security"/>
    <s v="IS Policies and Organization"/>
    <s v="1.2.1"/>
    <s v="To what extent is information security managed within the organization?"/>
    <s v="Inwieweit wird die Informationssicherheit innerhalb der Organisation verwaltet?"/>
    <x v="2"/>
    <s v="Fehlende KPIs, Bewertung in der Label Abhängigkeit wo für die Controls notwendig.Nachweis fehlt für Assessment bzgl. Anwendbarkeit der Labels."/>
    <n v="2"/>
    <n v="3"/>
    <n v="1"/>
    <s v="Siehe ISMS Policy in Punkt 5.2 &quot;Stelle mir dar, dass Du alle Control-No betrachtet hast bzgl. Confidentail u. Very High Availability, Wichtig !: Trennung von Scorecard. Scorecard link oder doc von Patrick G. an Mark -&gt; Mark erarbeitet KPI Dashboard für ISMS, Erzeugung Assessment Dokuments in der jährlichen Betrachtung."/>
    <x v="3"/>
    <x v="0"/>
    <x v="2"/>
    <x v="0"/>
    <d v="2026-05-15T00:00:00"/>
    <m/>
    <m/>
    <n v="1"/>
  </r>
  <r>
    <s v="F-003"/>
    <s v="Information Security"/>
    <s v="IS Policies and Organization"/>
    <s v="1.2.2"/>
    <s v="To what extent are information security responsibilities organized?"/>
    <s v="Inwieweit sind Informationssicherheitsaufgaben organisiert?"/>
    <x v="2"/>
    <s v="_x000a_ Fehlende Verantwortlichkeiten in OT SK/PL und Qualitfikationsnachweise in OT/PROD."/>
    <n v="2"/>
    <n v="3"/>
    <n v="1"/>
    <s v="Wie sind die Verantworlichkeiten und die Kenntnisstände in der Produktoin definiert?  Gibt es ein Dokument wo auch patches updates im OT berreich definiert sind? . Produktionsupdates, sicherheitslücken, gibt es backups, wurde das getestet Direkte Darstellung der Verantwortlichkeiten, Dokument: _x000a_OT Seite zwingend erweitern für Produktionslinien in SK/PL_x000a_Empfehlung für Training: Vorfallsbezogen agieren in OT_x000a_"/>
    <x v="5"/>
    <x v="2"/>
    <x v="0"/>
    <x v="0"/>
    <d v="2026-05-30T00:00:00"/>
    <m/>
    <m/>
    <n v="1"/>
  </r>
  <r>
    <s v="F-003"/>
    <s v="Information Security"/>
    <s v="IS Policies and Organization"/>
    <s v="1.2.2"/>
    <s v="To what extent are information security responsibilities organized?"/>
    <s v="Inwieweit sind Informationssicherheitsaufgaben organisiert?"/>
    <x v="2"/>
    <s v="Vorgegebene OT Assetliste SK/PL ist noch nicht ausgefüllt von MB/TD. Erweitern für Connectivity für IP-Traffic (warum, wohin, was, wer steuert)?"/>
    <n v="2"/>
    <n v="3"/>
    <n v="1"/>
    <s v="Vervollständigung OT Asseliste und Erweiterung um Connectivity"/>
    <x v="6"/>
    <x v="2"/>
    <x v="0"/>
    <x v="0"/>
    <d v="2026-05-30T00:00:00"/>
    <m/>
    <m/>
    <n v="1"/>
  </r>
  <r>
    <s v="F-003"/>
    <s v="Information Security"/>
    <s v="IS Policies and Organization"/>
    <s v="1.2.2"/>
    <s v="To what extent are information security responsibilities organized?"/>
    <s v="Inwieweit sind Informationssicherheitsaufgaben organisiert?"/>
    <x v="1"/>
    <s v="Information Sec. Anforderungen an OT Verträge und Assessment; Brandmeldeanlage, KLIMA etc."/>
    <n v="2"/>
    <n v="3"/>
    <n v="1"/>
    <s v="Prüfung der bestehenden Verträge OT (SK/PL) -&gt; wie sehen die verträge im OT bereich aus. Hot stand by mit Siemens zum beispiel. Gibt es updates für sps und wer stellt sie zu verfügung und testet und implementiert. Asset Liste hier erforderlich für vertragliche Gegebenheiten."/>
    <x v="6"/>
    <x v="2"/>
    <x v="0"/>
    <x v="0"/>
    <d v="2026-05-30T00:00:00"/>
    <m/>
    <m/>
    <n v="1"/>
  </r>
  <r>
    <s v="F-003"/>
    <s v="Information Security"/>
    <s v="IS Policies and Organization"/>
    <s v="1.2.2"/>
    <s v="To what extent are information security responsibilities organized?"/>
    <s v="Inwieweit sind Informationssicherheitsaufgaben organisiert?"/>
    <x v="0"/>
    <s v="ISO Nicht im Organigramm enthalten"/>
    <n v="2"/>
    <n v="3"/>
    <n v="1"/>
    <s v="Gibt es ein Organigramm auf Gruppenebene und wer ist für dieses dokument verantwortlich? wo steht das?"/>
    <x v="6"/>
    <x v="2"/>
    <x v="0"/>
    <x v="0"/>
    <d v="2026-05-15T00:00:00"/>
    <m/>
    <m/>
    <n v="1"/>
  </r>
  <r>
    <s v="F-003"/>
    <s v="Information Security"/>
    <s v="IS Policies and Organization"/>
    <s v="1.2.2"/>
    <s v="To what extent are information security responsibilities organized?"/>
    <s v="Inwieweit sind Informationssicherheitsaufgaben organisiert?"/>
    <x v="1"/>
    <s v="Fehlende Betrachtung der Informationssicherheit in Projekten (Sales, Engineering (PLM) und Purchaising (Supply Chaing) -&gt; Beispiel: Wir haben ein Projekt, Kunde schickt ein NDA. Wer kennt den Inhalt und wie kommt dieser zu den Projektmitarbeitern ←genauso!_x000a_ Erzeugung Projekt Policy (!)"/>
    <n v="2"/>
    <n v="3"/>
    <n v="1"/>
    <s v="Infromationssicherheit in Projekten ist eines der heißesten Themen → Da sind wir (schlecht) Punkt 1.2.3. Erwartung das die Projekte als Vertaulich eingestuft werden, was bedeutet das bei den Kunden Projekte? Wie lange müssen und wie lange dürfen wir Projektdaten aufbewahren? Wie händeln wir das und wo ist es definiert- Beispiel 3-6 Monaten nach Projekt muss garantiert sein das die Projektdaten nicht mehr zugänglich sind. Übergabeworkflow von Sales zum Projekt &gt; Hier existiert schon etwas - Abfragen gem. Screenshot. Wir haben ein Projekt, Kunde schickt ein NDA. Wer kennt den Inhalt und wie kommt dieser zu den Projektmitarbeitern ←genauso!_x000a_ _x000a_Übergabe der Kundeninformationen Kundenabmachungen wie z.b. NDA muss in einen übergabe WF. Selbes für Vertragsinformationen (Beispiel: dürfen später sublieferenten verwendet werden, wie bekommt das prokjekt so ein Vertragsinfomrationsteil mit) -&gt; Siehe Ausschnitt aus Screenshot was die Auditoren erwarten bzw. was in der Regel im Kontext mit der AL3 Zert. zu Gesicht bekommen. -&gt; Screenshot StageReview 20.4.26 Expectations_x000a_ "/>
    <x v="7"/>
    <x v="0"/>
    <x v="0"/>
    <x v="0"/>
    <d v="2026-05-30T00:00:00"/>
    <m/>
    <m/>
    <n v="1"/>
  </r>
  <r>
    <s v="F-004"/>
    <s v="Information Security"/>
    <s v="IS Policies and Organization"/>
    <s v="1.2.3"/>
    <s v="To what extent are information security requirements considered in projects?"/>
    <s v="Inwieweit werden Anforderungen an Informationssicherheit in Projekten berücksichtigt?"/>
    <x v="3"/>
    <m/>
    <n v="2"/>
    <n v="3"/>
    <n v="1"/>
    <m/>
    <x v="8"/>
    <x v="0"/>
    <x v="0"/>
    <x v="0"/>
    <d v="2026-04-30T00:00:00"/>
    <m/>
    <m/>
    <n v="1"/>
  </r>
  <r>
    <s v="F-General"/>
    <s v="Information Security"/>
    <s v="IS Policies and Organization"/>
    <s v="1.2.4"/>
    <s v="To what extent are the responsibilities between external IT service providers and the own organization defined?"/>
    <s v="Inwieweit sind die Verantwortlichkeiten zwischen externen IT-Dienstleistern und der eigenen Organisation definiert?"/>
    <x v="0"/>
    <s v="Should = Must Requirements bis auf Diskurs für Nachweis, dass nicht applicable._x000a_"/>
    <n v="1"/>
    <n v="3"/>
    <n v="2"/>
    <s v="Wir müssen neben den High und Very High Availability Anforderungen immer die Must &amp; Should Anforderungen mit Berücksichtigen. Es gibt die Möglichkeit Should Anforderungen wenn nicht applicable, wegzudiskutieren, dass ist aber kaum möglich!"/>
    <x v="9"/>
    <x v="0"/>
    <x v="0"/>
    <x v="0"/>
    <d v="2026-04-30T00:00:00"/>
    <m/>
    <m/>
    <n v="1"/>
  </r>
  <r>
    <s v="F-General"/>
    <s v="Information Security"/>
    <s v="IS Policies and Organization"/>
    <s v="1.2.4"/>
    <s v="To what extent are the responsibilities between external IT service providers and the own organization defined?"/>
    <s v="Inwieweit sind die Verantwortlichkeiten zwischen externen IT-Dienstleistern und der eigenen Organisation definiert?"/>
    <x v="0"/>
    <s v="ENX -&gt; Dokumentierte Umsetzung wichtiger als Policies (!) / e.g.: Wiederherstellung zeigen !"/>
    <n v="1"/>
    <n v="3"/>
    <n v="2"/>
    <s v="Die Etablierung der Verfahren und der Nachweis der Umsetzungen ist wichtiger als die Evidenz der Verfügbarkeit des Policy Frameworks !"/>
    <x v="9"/>
    <x v="0"/>
    <x v="0"/>
    <x v="0"/>
    <d v="2026-04-30T00:00:00"/>
    <m/>
    <m/>
    <n v="1"/>
  </r>
  <r>
    <s v="F-005"/>
    <s v="Information Security"/>
    <s v="IS Policies and Organization"/>
    <s v="1.2.4"/>
    <s v="To what extent are the responsibilities between external IT service providers and the own organization defined?"/>
    <s v="Inwieweit sind die Verantwortlichkeiten zwischen externen IT-Dienstleistern und der eigenen Organisation definiert?"/>
    <x v="1"/>
    <s v="Welche internen OLAs existieren und sind vereinbart, welche OT SLAs sind in Verträgen vereinbart und mit dem Mgmt. abgestimmt? Training und lfd. Prozess für OLA und SLA Mgmt. inkl. KPI Darstellung."/>
    <n v="1"/>
    <n v="3"/>
    <n v="2"/>
    <s v="IT &amp; OT Service Provider; Verträge für SK/PL betrachten und erörtern;  (SPS Ausfall und vertragliche Vereinbarung),  MTO/RTP/RTO Anforderungen an OT, ext. Zugriff und Authentifizierung. Personalisierte Accounts vom ext. Serv. Provider._x000a__x000a_SLA und OLA für OT- Wo sind die, wer prüft das, welche SLA Agreements sind mit den Externen getroffen. Gleiches gilt für PLM oder AX in Polen. MAximal tolerierte Ausfallzeiten, sind diese definiert und matcht das mit den Verträgen Sinn und wenn nicht ist das Risiko bewertet"/>
    <x v="9"/>
    <x v="0"/>
    <x v="0"/>
    <x v="0"/>
    <d v="2026-04-30T00:00:00"/>
    <m/>
    <m/>
    <n v="1"/>
  </r>
  <r>
    <s v="F-005"/>
    <s v="Information Security"/>
    <s v="IS Policies and Organization"/>
    <s v="1.2.4"/>
    <s v="To what extent are the responsibilities between external IT service providers and the own organization defined?"/>
    <s v="Inwieweit sind die Verantwortlichkeiten zwischen externen IT-Dienstleistern und der eigenen Organisation definiert?"/>
    <x v="2"/>
    <s v="Fehlener Prozess für Dokumentation von externen Zugriffsszenarien (wer, wie, wielange, worauf, encr. Meth.) im OT Bereich."/>
    <n v="1"/>
    <n v="3"/>
    <n v="2"/>
    <s v="Wie wird das mit externen Service Providern u. Vertragshaltern umgesetzt, wer greift zu, was darf er, wie lange darf er und wie sieht der Request und die Umsetzung aus. Wie wird der Zugriff dokumentiert, so dass es auch eine Historie gibt. Personalisierte Accounts vom ext. Serv. Provider sind nur erlaubt._x000a_ "/>
    <x v="9"/>
    <x v="0"/>
    <x v="0"/>
    <x v="0"/>
    <d v="2026-04-30T00:00:00"/>
    <m/>
    <m/>
    <n v="1"/>
  </r>
  <r>
    <s v="F-006"/>
    <s v="Information Security"/>
    <s v="IS Policies and Organization"/>
    <s v="1.3.1"/>
    <s v="To what extent are information assets identified and recorded?"/>
    <s v="Inwieweit werden Informationsressourcen erfasst und dokumentiert?"/>
    <x v="2"/>
    <s v="Überprüfung: Sind die Netzwerkdevices im Matrix42 erfasst?_x000a_Erfassung der OT Devices neben Matrix42 in den gen. Listen für SK und PL (Erweiterung um IP Comm.)"/>
    <m/>
    <n v="4"/>
    <s v=""/>
    <s v="Beim Asset Mgmt.: Storages und Server bzw. windows devices sollten klar sein.  _x000a_OT Assests kommen in die Liste aber wie sieht es mit Software oder Dokumenten oder Backups oder Finanzdaten als Assests aus, auch diese müssen geführt werden._x000a_Rücksprache mit GL bzgl. besondere Finance-Assets als auch andere Assets._x000a_Welche weiteren Assetzuordnungen existieren noch?_x000a_ Welche Assets verlässt das unternehmen. Beispiel: Backups die in der cloud sind._x000a_Vorschlag: Anpassung Policy für Prozess und Klassifizierung (jährlich) für &quot;besondere&quot; Assets._x000a__x000a_Prüferfrage &quot;beliebt&quot;: End2end Check in Matrix42 für Asset_x000a__x000a__x000a_"/>
    <x v="9"/>
    <x v="0"/>
    <x v="0"/>
    <x v="0"/>
    <d v="2026-04-30T00:00:00"/>
    <m/>
    <m/>
    <n v="1"/>
  </r>
  <r>
    <s v="F-007"/>
    <s v="Information Security"/>
    <s v="IS Policies and Organization"/>
    <s v="1.3.2"/>
    <s v="To what extent are information assets classified and managed in terms of their protection needs?"/>
    <s v="Inwieweit werden Informationsressourcen entsprechend ihren Schutzanforderungen klassifiziert und verwaltet?"/>
    <x v="1"/>
    <s v="Zugriff von nicht-unternehmens Endgeräten auf Unternehmensdaten aktuell gegeben._x000a_Diskurs: Abschalten oderRisikobewertung._x000a_Policy Vorgaben_x000a__x000a_Siehe auch die novierte Legacy Policy (PG) mit der Anleitung. Word to PDF, Google Translate, Deepl.com etc."/>
    <n v="2"/>
    <n v="3"/>
    <n v="1"/>
    <s v="Kein Zugriff von privaten Geräten auf Unternehmensinfrastruktur_x000a_Asset Mgmt. Policy oder Bezug auf Unternehmensgeräte anpassen: 6.5 Speicherung, Transport, Remote Access und Cloud (eMail, Teams, OneDrive - Austausch von Daten)._x000a_HomeOffice -&gt; Printer usage (TBD);_x000a_Risikobewertung -&gt; Monitoring/Logging mit Maßnahmenplan organisatorische Maßnahme (Verbot und Verfahrensanweisung)/ eMail-Versandt (!)_x000a_Konkretisierung von nicht Unternehmensgeräten_x000a__x000a_Vertrauliche Daten dürfen nur auf Firmengeräte das ist bei uns nicht gegeben. Webzugang zu MS_x000a_Zuhause drucken abschalten- Risiko bewerten in Bezug auf die vertraulichkeit die geschützt werden muss_x000a_Webmail abschalten_x000a_wie stellst du sicher das keine online umwandlung oder translation von informationen stattfindet ( als beispiel für daten die das unterehmen verlassen)"/>
    <x v="9"/>
    <x v="0"/>
    <x v="0"/>
    <x v="0"/>
    <d v="2026-04-30T00:00:00"/>
    <m/>
    <m/>
    <n v="1"/>
  </r>
  <r>
    <s v="F-008"/>
    <s v="Information Security"/>
    <s v="IS Policies and Organization"/>
    <s v="1.3.3"/>
    <s v="To what extent is it ensured that only evaluated and approved external IT services are used for processing the organization’s information assets?"/>
    <s v="Inwieweit wird sichergestellt, dass nur evaluierte und genehmigte externe IT-Dienste zur Verarbeitung der Informationsressourcen der Organisation verwendet werden?"/>
    <x v="0"/>
    <s v="Fehlende Integration eines Assessment für Inf.Sich. Risikobewertung inkl. CIA von externen IT-Providern und dem Zugang/Zutritt auf interne IT-Infr.; gleiches für SW._x000a__x000a_Vorgaben existieren für verschiedenste Szenarien -&gt; zusammenfassen und in die Vorgaben integrieren."/>
    <n v="2"/>
    <n v="3"/>
    <n v="1"/>
    <s v="Wenn PC nicht geht dann ticket. -&gt; Wenn Machinine nicht geht dann?  Wenn intern das problem nicht behoben werden kann, wer entscheidet und ist verantwortlich für externe unterstützung und gibt es eine liste an externen freigegebenen Partnern und der damit einhergehenden Kritierien. Das gleiche gilt für Freigebene Softwarelösungen- Wer darf wen bei was kontaktieren und wo steht es?"/>
    <x v="9"/>
    <x v="0"/>
    <x v="0"/>
    <x v="0"/>
    <d v="2026-04-30T00:00:00"/>
    <m/>
    <m/>
    <n v="1"/>
  </r>
  <r>
    <s v="F-009"/>
    <s v="Information Security"/>
    <s v="IS Policies and Organization"/>
    <s v="1.3.4"/>
    <s v="To what extent is it ensured that only evaluated and approved software is used for processing the organization’s information assets?"/>
    <s v="Inwieweit wird sichergestellt, dass nur geprüfte und genehmigte Software zur Verarbeitung der Informationsressourcen der Organisation verwendet wird?"/>
    <x v="2"/>
    <s v="Fehlender Review und Prozess für freigegeben SW. Keine Nachweise wie OT Maintenance im Wartungszyklus bewertet für neue SW und oder zusätzlicher SW."/>
    <n v="2"/>
    <n v="3"/>
    <n v="1"/>
    <s v="Zyklischer Review der bereits freigegeben SW im Bezug auf IT- oder SW-Ownership und Rückfragen, ob in dieser Form noch genutzt oder nicht, wer ist hier der Reviewer?_x000a_Aufbau Liste für PDCA und Prozess für Tracking/Review und Entscheidung._x000a__x000a_OT nachprüfen für Prozesse bei OT-DL Querschnittsfunktionen, e.g. wie wird sichergestellt, dass während Maintenance (Wartungszyklus) keine zusätzliche SW installiert wird."/>
    <x v="9"/>
    <x v="3"/>
    <x v="0"/>
    <x v="0"/>
    <d v="2026-04-30T00:00:00"/>
    <m/>
    <m/>
    <n v="1"/>
  </r>
  <r>
    <s v="F-General"/>
    <s v="Information Security"/>
    <s v="IS Policies and Organization"/>
    <s v="1.3.4"/>
    <s v="To what extent is it ensured that only evaluated and approved software is used for processing the organization’s information assets?"/>
    <s v="Inwieweit wird sichergestellt, dass nur geprüfte und genehmigte Software zur Verarbeitung der Informationsressourcen der Organisation verwendet wird?"/>
    <x v="0"/>
    <s v="Immer darauf achten wenn die ISA/IEC 62443 referenziert wird (in der Spalte P) muss OT mehr Berücksichtigt werden( Security for industrial automation and control systems)"/>
    <n v="2"/>
    <n v="3"/>
    <n v="1"/>
    <s v="Durchführung Assessment Prüfkatalog wo ISA/IEC 62443 gegeben in Spalte P für den OT Kontext und Prüfung der Konformität für OT._x000a_Erstelllung Liste mit entspr. Vorgaben für Maßnahmen und Umsetzungen_x000a_"/>
    <x v="8"/>
    <x v="0"/>
    <x v="0"/>
    <x v="0"/>
    <d v="2026-04-30T00:00:00"/>
    <m/>
    <m/>
    <n v="1"/>
  </r>
  <r>
    <s v="F-010"/>
    <s v="Information Security"/>
    <s v="IS Policies and Organization"/>
    <s v="1.4.1"/>
    <s v="To what extent are information security risks managed?"/>
    <s v="Inwieweit werden Informationssicherheitsrisiken gesteuert?"/>
    <x v="2"/>
    <s v="Ist die OT Bestandteil der Inf/RM Teams für Verantwortlichkeiten (?)_x000a_Fehlender Zweizeiler der Risikobetrachtung in der Risiko RL._x000a__x000a_Very High Availability Request:_x000a_'+ Additional requirements for software use (e.g., need for control or monitoring of usage) are determined (if any) (C, I, A)"/>
    <n v="2"/>
    <n v="3"/>
    <n v="1"/>
    <s v="Befüllung und Risikobehandlung im ISW._x000a_Nachprüfung für IT/OT, wo analog Gremiensteckbrief (STD) enthalten, insbesondere OT._x000a__x000a_Controls gem. ISA Katalog für Betrachtung -&gt; Zweizeiler für Risikotrachtung in der RL._x000a_Risikotabelle: Erweiterung mit Control-Nr. TISAX Katalog 6.03 _x000a__x000a_ISRA nicht nur befüllen sondern auch die Ableitungen (Maßnahmen / Umsetzung) daraus definieren und tracken sowie regelmäßiges review planen und dokumentieren_x000a_In der ISRA Richtlinie fehlt ggf. OT_x000a__x000a_Kann man nachweisen das jedes controll aus dem Katalog also jeder Punkt im ISRA betrachtet wurde. Ein satz hintzufügen das alle controlls von tisax betrachtet werden sowie die kontrollnummer aus dem katalog hinzufügen."/>
    <x v="9"/>
    <x v="1"/>
    <x v="1"/>
    <x v="0"/>
    <m/>
    <m/>
    <m/>
    <n v="1"/>
  </r>
  <r>
    <s v="F-011"/>
    <s v="Information Security"/>
    <s v="IS Policies and Organization"/>
    <s v="1.5.1"/>
    <s v="To what extent is compliance with information security ensured in procedures and processes?"/>
    <s v="Inwieweit wird die Einhaltung der Informationssicherheit in Verfahren und Abläufen gewährleistet?"/>
    <x v="2"/>
    <s v="Gibt es für die Verfahren und Abläufe Controls für eine belastbare und nachweisliche Dokumentation (e.g. gibt es einen Plan für  Kontrollgänge?). Auditprogramm mit einfließen lassen für Kontrollfokus._x000a_Fokus ist die Umsetzung; (e.g. schaut jemand das man tatsächlich nur ins Werk/Plant kommt wie vorgeschrieben, e.g. werden dieLlieferanten bewertet wie vorgeschrieben, technische Inf.Sec. Überprüfung erfolgt durch Matrix42 im HInblick auf ...)_x000a__x000a_Existieren Überprüfungen auf die man referenzieren kann?_x000a_Neben der Dokumentation der Wirksamkeitsnachweis (wirksame Umsetzung e.g. Lieferantenbewertung) sind Anpassungen an der Dokumentation wesentlich. Betrachtungszeitraum mindestens 1 Jahr (jährliche Überprüfung und Revision). Darstellung Zeitplan für Umsetzung ist notwendig._x000a__x000a_Was live nicht funktioniert, wurde das dann angepasst und auch in der Richtline angepasst. dafür muss es aber erstmal “live” sein. Muss mit einem Zeitplan dargestellt werden. Auch beim Patchmanagement z.B._x000a__x000a_"/>
    <n v="2"/>
    <n v="3"/>
    <n v="1"/>
    <s v="Einführung der Verifizierung durch Kontrollen und Bewertung der Umsetzung und Dokumentation als Wirksamkeitsnachweis. Auditprogramm und Control Compliance Framework kann hier helfen für den richtigen umsetzbaren Ansatz in der Verifizierung._x000a__x000a_Betrachtungszeitrum mind. 1 Jahr für jährliche Revision und Nachweise und Wirksamkeitsanalyse._x000a__x000a_Die Verantwortlichen müssen für die Prozesse die Nachweise liefern können. Im Umkehrschluss muss bei Auffälligkeiten auch eine Richtline und Standard angepasst werden könnne (TISAX Fokus gegeben)."/>
    <x v="9"/>
    <x v="0"/>
    <x v="0"/>
    <x v="0"/>
    <d v="2026-05-31T00:00:00"/>
    <m/>
    <m/>
    <n v="1"/>
  </r>
  <r>
    <s v="F-012"/>
    <s v="Information Security"/>
    <s v="IS Policies and Organization"/>
    <s v="1.5.2"/>
    <s v="To what extent is the ISMS reviewed by an independent authority?"/>
    <s v="Inwieweit wird das ISMS von einer unabhängigen Behörde überprüft?"/>
    <x v="0"/>
    <s v="Der Review des ISMS bedetuet nicht nur durch eine bestimmte Auditinstanz. Der Review kann durch verschiedenste Nachweise dargegstellt werden._x000a__x000a_Kundenaudits können auch verwendet werden, ISMS wurde dadruch ggf. schon  in Teile auditiert. Ggf. extern auditieren. Muss keine Organisatation/Unternehmen sein._x000a__x000a_ AL2 Zertifizierung ; Pentesting ext. vom TÜV für Teile vom Katalog._x000a_Nachweise für Teilüberprüfungen oder Gesamtüberprüfungen in Teilen des TISAX 6.0n Prüfkataloges. Ext. Nachweis durch einen Externen."/>
    <m/>
    <n v="4"/>
    <s v=""/>
    <s v="Erstellung einer jährlichen ISMS Audit-Summary die man als Nachweis für den jährlichen ISMS-Audit benutzen kann. Ablage mit Nachweisen im ISMS und jährlichen 2. Sicherheitsreports per Ende Jahr._x000a_"/>
    <x v="9"/>
    <x v="0"/>
    <x v="2"/>
    <x v="0"/>
    <d v="2026-05-31T00:00:00"/>
    <m/>
    <m/>
    <n v="1"/>
  </r>
  <r>
    <s v="F-013"/>
    <s v="Information Security"/>
    <s v="IS Policies and Organization"/>
    <s v="1.6.1"/>
    <s v="To what extent are information security relevant events or observations reported?"/>
    <s v="Inwieweit werden informationssicherheitsrelevante Ereignisse oder Beobachtungen gemeldet?"/>
    <x v="1"/>
    <s v="Wie werden Ereignisse gemeldet, wer kann ein Sicherheitsvorfall melden und wie macht er das. ist das kommuniziert und ging das an alle per Schulung raus? Wie wurden die REUTIB Mitarbeiter verpflichtet relevante Ereignisse zu melden. Es muss mindestens 2 Kanäle geben, nur Tiket alleine reicht nicht. es muss eine zentrale erreichbare Telefonnummer geben. Wie ist geregelt das man die Kundenverträge einhält, in denen ist ggf. geregelt das man ein Vorfall auch an die Kunden oder andere externe stakeholder melden muss. (Drohne über Werk, oder jmd. steht am Zaun, z.b), auch für OT in der Produktionslinie -&gt; Schichtleiter._x000a_Wo schlägt die Meldung als erstes auf, wie schnell muss reagiert werden und wer ist das dann bzw. kann er das dann richtig eintakten zu der jeweiligen richtigen Abteilung ? ( Vorfall könnte auch sein das z.b hohe Schwellwerte bei den Maschinen erreicht werden) Rauchabzug könnte auch ein Bsp. sein oder Personal macht Fotos von Zeichnungen. (Selbst mal mit der Drohne testen ob sowas aufschlagen würde)_x000a_Meldezeiten wie vorgegeben berücksichtigen, gilt alles auch für OT !_x000a_ inkl. OLAs für Melde- Weiterleitungszeiten. _x000a_Aufgrund der Überwachung (XDR Sophos und Trashhold) gleiche Meldung als Sec.Incident."/>
    <n v="2"/>
    <n v="3"/>
    <n v="1"/>
    <s v="Anpassung und Implementierung des Incident Response Mgmt. Prozesses für REUTIB gesamt (inkl. OT). Ticketing, Telefonnummer und auch XDR Incidents berücksichtigen."/>
    <x v="10"/>
    <x v="0"/>
    <x v="0"/>
    <x v="0"/>
    <d v="2026-05-31T00:00:00"/>
    <m/>
    <m/>
    <n v="1"/>
  </r>
  <r>
    <s v="F-014"/>
    <s v="Information Security"/>
    <s v="IS Policies and Organization"/>
    <s v="1.6.2"/>
    <s v="To what extent are reported security events managed?"/>
    <s v="Inwieweit werden gemeldete Sicherheitsereignisse verwaltet?"/>
    <x v="2"/>
    <s v="1.6.2. haben wir mit 1.6.1 beantwortet. Verwaltung der Meldungen auch analog Kundenvertrag oder Kunden-Anforderungs-Liste. Welche Kunde will ab welchem Level von Incident informationen haben_x000a_ _x000a_Wer ist verantwortlich für OT und IT wenn getrennt in den Meldewegen und wie läuft analog (should) Koordination der Incidents?, inkl. physische Sicherheit (Facilitmgmt.)_x000a__x000a_"/>
    <n v="2"/>
    <n v="3"/>
    <n v="1"/>
    <s v="Implementierung/Erweiterung des Incident Response Mgmt. Prozesses für OEM-Kommunikation (etc.). _x000a_Integration in das Krisenmanagement für Entscheidung für OEM Kommunkation._x000a__x000a_Bitte beachten: Very High Availability, bitte die Referenz betrachten._x000a_Bitte die Vertragswerke der OEMs betrachten -&gt; Kundeninformation (Betrachtung erfolgt und in Prozessen abgebildet?)"/>
    <x v="11"/>
    <x v="0"/>
    <x v="2"/>
    <x v="0"/>
    <d v="2026-05-31T00:00:00"/>
    <m/>
    <m/>
    <n v="1"/>
  </r>
  <r>
    <s v="F-015"/>
    <s v="Information Security"/>
    <s v="IS Policies and Organization"/>
    <s v="1.6.3"/>
    <s v="To what extent is the organization prepared to handle crisis situations?"/>
    <s v="Inwieweit ist die Organisation darauf vorbereitet, Krisensituationen zu bewältigen?"/>
    <x v="2"/>
    <s v="Ab wann sprechen wir von einer Krise, was ist der Auslöser für eine Krise. Wann wird das “Team” kontaktiert und wie? Wir haben noch keine Notfall und Krisenstabsorganisation. Problem-Emergency-Crisis als Rangfolge._x000a__x000a_Doku auch ausgedruckt vorhanden und die information wo dies gefunden werden kann. Notfall Laptop für Krisenstab. Übung, Testlauf. Mitarbeiter frage: Ab wann sprechen wir von einer Krise, wissen sie das?_x000a__x000a_Was sind die Kritischen Geschäftsprozesse und wo stehen die. Sind dort Dinge in Abhängigkeit benötigt die wir als Ersatzvorhalten (Steuerung, Ersatzteil, Switch,). Übungen!_x000a__x000a_Auslöser und Schwellwert für Krise._x000a_Notfall- und Krisenteam Aufbau, Schulung und Planung fehlt aktuell ist aber in der Planung. Definition vom Team und Ausdrucken und Notfallnotebooks mit USB-Sticks._x000a__x000a_Folgefragen: Top-Down Ansatz bis runter in OT für Verantwortlichkeiten mit BIA/GAP-Analyse; Ausfallkompomenten in Spare IT/OT (e.g. zentraler Switch...) -&gt; DR-Spare Systems,_x000a_Plan für Excercisees und Maßnahmen daraus."/>
    <n v="2"/>
    <n v="3"/>
    <n v="1"/>
    <s v="Prozess für Krisenmanagement anpassen/aufbauen/schulen und üben etc. (s.l.)._x000a__x000a_Wichtig; Very High Availibilty: '+ Crisis exercises and simulations involving all relevant persons, decision makers are conducted regularly. (A)"/>
    <x v="12"/>
    <x v="0"/>
    <x v="2"/>
    <x v="0"/>
    <d v="2026-05-31T00:00:00"/>
    <m/>
    <m/>
    <n v="1"/>
  </r>
  <r>
    <s v="F-016"/>
    <s v="Information Security"/>
    <s v="Human Resources"/>
    <s v="2.1.1"/>
    <s v="To what extent is the qualification of employees for sensitive work fields ensured?"/>
    <s v="Inwieweit wird die Qualifikation der Mitarbeiter für sensible Arbeitsbereiche gewährleistet?"/>
    <x v="0"/>
    <s v="Gibt es eine zentrale HR, wie wird der Prozess auf die Regionen runtergebrochen?_x000a_Wir wird das auf regionale HR´s runtergebrochen. Führungszeugnis, Strafregisterauszug oder Sicherheitsüberprüfung ? Wie ist es bei überlassen Mitarbeiter (Leiharbeiter) wie ist das in Thema dann in den Verträgen der “Zeitarbeitsfirma” hinterlegt. Backgroundscreening z.B_x000a__x000a__x000a_Vorgaben für Anforderungen und Evidenzen liegen in Policy vor_x000a_Spezifische Anforderungen wie beim  Strafregisterauszug etc. für B- und C-Level_x000a_ Anforderungen REUTIB inkl Geheimhaltung (NDA, Backgroundscreen für REUTIB durch Partner)._x000a_"/>
    <n v="3"/>
    <n v="3"/>
    <n v="0"/>
    <s v="Aktuell existiert nur die HR Personel Safety &amp; Security Policy, Standards für regionale Anforderungen etablieren."/>
    <x v="13"/>
    <x v="0"/>
    <x v="2"/>
    <x v="0"/>
    <m/>
    <m/>
    <m/>
    <n v="1"/>
  </r>
  <r>
    <s v="F-017"/>
    <s v="Information Security"/>
    <s v="Human Resources"/>
    <s v="2.1.2"/>
    <s v="To what extent is all staff contractually bound to comply with information security policies?"/>
    <s v="Inwieweit sind alle Mitarbeiter vertraglich verpflichtet, Informationssicherheitsrichtlinien einzuhalten?"/>
    <x v="0"/>
    <s v="Arbeitsvertrag muss entspr. Vereinbarungen (wie Geheimhaltung beinhalten), bitte vertragliche Vorlage anschauen für PL und SK), Beispiel: External Sorting e.g. (wie sind die Verträge gestaltet für SK, ggfs. PL)"/>
    <n v="3"/>
    <n v="3"/>
    <n v="0"/>
    <s v="Arbeitsvertag Vorlage bereitstellen"/>
    <x v="2"/>
    <x v="1"/>
    <x v="1"/>
    <x v="0"/>
    <m/>
    <m/>
    <m/>
    <n v="1"/>
  </r>
  <r>
    <s v="F-018"/>
    <s v="Information Security"/>
    <s v="Human Resources"/>
    <s v="2.1.3"/>
    <s v="To what extent is staff made aware of and trained with respect to the risks arising from the handling of information?"/>
    <s v="Inwieweit wird das Personal über die Risiken hinsichtlich des Umgangs mit Informationen informiert und darin geschult?"/>
    <x v="2"/>
    <s v="Keine Schulungen mit dem TISAX Fpkus, kein Schulungskonzept das einheitlich ist._x000a__x000a_HR wird gefragt wer hat welche Schulung gemacht. Zeig mir wie du den neuen Mitarbeitern im Hinblick auf z.b. Compliance Themen der Informationssicherheit geschult haben oder das verhalten bei auftreten von einem Schherheitsvorfall._x000a__x000a_Wie stellen wir sicher das die polnische Mitarbeiterin den gleichen Kenntnisstand wie die slowakische MA hat? Nachweis von der Schulung und von dem Onboarding, was wurde geschult und wer hat es gemacht? Wie stellen wir sicher das Informationen die neu geteilt wurden bei neuen Mitarbeitern direkt in das Onboarding kommen. Ggf. Schulungen trennen für User und für personen die keinen systemuser bekommen wobei das schwer ist da auch nicht user ggf. maschinen bedienen._x000a__x000a_Schulung über jeder Richtlinie (DOS und Don'ts), Schulungskonzept, gleicher Kenntnisstand über alle Lokationen. Teilnehmerliste und Nachweise._x000a_Bereichsbezogene Schulungen für User, Non-User, etc. -&gt; HR ist hier im Driver._x000a_Lernakademie muss von HR getracked und adressiert werden._x000a__x000a_Auditorfragen: Direkt an HR für Nachweise für erfolgte Schulungen und Teilnahme.."/>
    <n v="2"/>
    <n v="3"/>
    <n v="1"/>
    <s v="Einheitliche Schulung/Training über Länder hinweg, und HR Governance imkl. Trainingsdokumentation und Wirksamkeitsnachweis._x000a__x000a_ "/>
    <x v="13"/>
    <x v="0"/>
    <x v="2"/>
    <x v="0"/>
    <m/>
    <m/>
    <m/>
    <n v="1"/>
  </r>
  <r>
    <s v="F-019"/>
    <s v="Information Security"/>
    <s v="Human Resources"/>
    <s v="2.1.4"/>
    <s v="To what extent is mobile work regulated?"/>
    <s v="Inwieweit ist mobile Arbeit reguliert?"/>
    <x v="2"/>
    <s v="Beispiel auf Geschäftsreisen: Wie ist die Vorgabe wenn du in ein kritischen Land wie China reist. Gilt inzwischen auch schon für USA. Mitarbeiter dürfen nur ins Homeoffice nach Schulung der Richtlinie. Diese muss auch von Mitarbeiter unterschrieben werden._x000a__x000a_Sind dem Mitarbeiter die absuluten “no-Go´s” klar? Und könnten einige davon aufzählen? Beispiel: es dürfen keine cloud dienste verwendet werden aber verschicken dann die Schicht Pläne untereinander per WhatsApp. Ist Verständnis z.B. dafür da was “cloud” bedeutet?_x000a__x000a__x000a_Anlehnung an Diskussion vom 20.4.26 im StageReview (Drucken im HomeOffice);_x000a_Reisetätigkeiten und Bitlocker (Device Encryption);_x000a__x000a_Richtlinie für Remote Work inkl. Training (aktuell im Asset Mgmt. Policy) und vom MA unterzeichnet im Arbeitsvertrag (beinhaltet). -&gt; Internal Awareness"/>
    <n v="2"/>
    <n v="3"/>
    <n v="1"/>
    <s v="Remote Working Policy erstellen, inklusive Standards für Regionen und der Vorgaben auch für HR._x000a__x000a_Device Encryption und Training/Schulung der MA durch HR, inkl. Fokus für No-Go's"/>
    <x v="13"/>
    <x v="0"/>
    <x v="2"/>
    <x v="0"/>
    <m/>
    <m/>
    <m/>
    <n v="1"/>
  </r>
  <r>
    <s v="F-020"/>
    <s v="Information Security"/>
    <s v="Physical Security"/>
    <s v="3.1.1"/>
    <s v="To what extent are security zones managed to protect information assets?"/>
    <s v="Inwieweit werden Sicherheitszonen verwaltet, um Informationsressourcen zu schützen?"/>
    <x v="1"/>
    <s v="Können die Sicherheitszonen Gebäude Layout gezeigt werden und ist dieser aktuell? Wenn der Auditor in eine “rote” zone gehen würde, würde das gehen oder wie ist der Ablauf. Beispiel auch anhand Graz. Besucherregelung? Sobald im Büro dann im Entwicklungsbereich. Personal, die Management Bereiche, ggf. Vertrieb da wo Angebote liegen sowie die Serveräume._x000a__x000a_REUTIB benötigt  für jeden Standort ein Sicherheitskonzept, egal wie groß. Kann die Türe offen gelassen werden, wenn ja gibt es ein Alarm?  _x000a__x000a_Wer verwaltet die Zugangs-Chips. Wievile Zugangs-Chips / Schlüssel wurden ausgegebe, die die Türe öffnen können. Was passiert wenn ein Chip/Badge verloren geht? Wer meldet wohin und ist sichergestellt das dieser Chip unverzüglich deaktiviert wird. Kann das Facility Mgmt in den Raum und wenn dieser extern ist, gibt es ein Vertrag und eine Regelung über den Zutritt?_x000a__x000a_Wie wird sichergestellt das vertrauliche Meetings nicht von anderen Mitbekommen werden auch in Bezug auf mithören oder durch eine Scheibe schauen (e.g. Graz Hauptraum -&gt; Glasinnenfenster. Selbst wenn es um Entwicklungsdiskussionen geht_x000a__x000a_Netzwerkkomponenten müssen geschützt werden und dürfen nicht offen zugänglich sein in (e.g.) Meetingräumen oder Druckbereichen."/>
    <n v="1"/>
    <n v="3"/>
    <n v="2"/>
    <s v="Erstellung und Etablierung eines Sicherheitszonenkonzeptes Facility Mgmt. Physische Sicherheit und HR. Unterscheidung im Zutritt für Zonen, Serverräume, Development (wenn isoliert), Zutrittsabsicherung (e.g. Graz), Thema Besucherregelung, SK und PL zu prüfen. _x000a__x000a_Fragen (e.g. für Graz): Kann die Zugangstüre theoretisch offen bleiben?, Alarmauslösung bei offener Türe, Share Environment (Graz): Zentrales Facilimgmt. und Prozess für Verwaltung der Chips (Prozess), Bischofshofen: Div. Türen, Zugriff auf Daten und Whiteboard im Eingangsraum, Organisatorische Vorgaben, Darstellung über Facilitmgmt._x000a_Sicherheitszone Graz muss beschrieben sein, e.g. wenn keine Person im Raum ist. _x000a_Sicherheitskonzept pro Standort_x000a__x000a_Erweiterung des Zonenkonzeptes für jeden Standort (!)_x000a_Drucker in Serverraum (no go)_x000a__x000a_Besprechungen mit  Engineeringdaten für Confidential Dokumente nur in abhörsicheren Räumen die geschlossen sind."/>
    <x v="14"/>
    <x v="0"/>
    <x v="0"/>
    <x v="0"/>
    <m/>
    <m/>
    <m/>
    <n v="1"/>
  </r>
  <r>
    <s v="F-021"/>
    <s v="Information Security"/>
    <s v="Physical Security"/>
    <s v="3.1.3"/>
    <s v="To what extent is the handling of supporting assets managed?"/>
    <s v="Inwieweit wird der Umgang mit unterstützenden Vermögenswerten verwaltet?"/>
    <x v="2"/>
    <s v="Entsorgung von Dokumenten (Archiv) und Datenträger und gibt es Prüfprotokoll und Entsorgungsprotokolle, was wurde entsorgt? Wer sind die externen Entsorger? Reisswolf GmbH (DE)_x000a__x000a_DE: Reisswolf Unternehmen beauftragt durch REUTIB Papierdaten, aktuell n.b. für PL, SK, AT_x000a__x000a_Umsetzung analog: (e.g. ISO 21964, at least Security Level 4)"/>
    <n v="2"/>
    <n v="3"/>
    <n v="1"/>
    <s v="Disposal Prozess für &quot;Papier&quot; und Inf. Assets mit nachweisen für Entsorgung (ext. / int.). _x000a_Klärung für DE -&gt; Reisswolf, offene Klärung für AT, SK, PL_x000a__x000a_Wichtig: Asset Klassifizierung -&gt; e.g. Jahressteuer REUTIB_x000a__x000a_Betrachtung Asset Mgmt. &amp; Classification Policy für Anwendbarkeit, Aufbewarungsfrist, ggfs. Standardvorgaben für Regionen. Beispiel: Entsorgung Dokumente HR SK, Archive, Aservatenkammer etc., Buchhaltung Leutenbach, Vertrieb &amp; Purchaising und PMO._x000a__x000a_'+ Supporting assets are protected. Disposal of supporting assets is conducted in accordance with one of the relevant standards (e.g. ISO 21964, at least Security Level 4). (C)"/>
    <x v="14"/>
    <x v="0"/>
    <x v="0"/>
    <x v="0"/>
    <m/>
    <m/>
    <m/>
    <n v="1"/>
  </r>
  <r>
    <s v="F-022"/>
    <s v="Information Security"/>
    <s v="Physical Security"/>
    <s v="3.1.4"/>
    <s v="To what extent is the handling of mobile IT devices and mobile data storage devices managed?"/>
    <s v="Inwieweit wird der Umgang mit mobilen IT-Geräten und mobilen Datenspeichergeräten verwaltet?"/>
    <x v="2"/>
    <s v="Können Unternehmensdaten auf privaten Geräten gespeichert werden? Sind die Assets (Geräte) registriert, die verwendet werden können? Funktionier die USB Schnittstelle? Nicht freigegebene Drucker sperren?! (geht das technisch überhaupt)._x000a__x000a_Wenn wir die Geräte nicht registrieren können (private) dann dürfen keine Zugänge von nicht registrierter Geräten auf Unternehmensdaten möglich sein. (O365)_x000a__x000a_Einstandsfrage: Können Unternehmensdaten auf Geräten enthalten sein? Wenn neine: Verwendung eines MDM, bzw. sind die Geräte registriert, VPN, funktioniert die USB Schnittstelle. USB-Schnittstellen funktionieren nur für normale USB-Devices außer USB-Sticks._x000a__x000a_Zugriff nur über Registerierung des Assets -&gt; aktuell nicht erfüllt, (aktuell der Fall bei privaten Assets),_x000a__x000a__x000a_ "/>
    <n v="2"/>
    <n v="3"/>
    <n v="1"/>
    <s v="Anmerkung: Nicht freigegeben Drucker sperren (ist das umsetzbar?)._x000a__x000a_Asset Klassifzierungspolicy beachten für Vorgaben (Streng- und Vertraulich)"/>
    <x v="15"/>
    <x v="0"/>
    <x v="2"/>
    <x v="0"/>
    <m/>
    <m/>
    <m/>
    <n v="1"/>
  </r>
  <r>
    <s v="F-023"/>
    <s v="Information Security"/>
    <s v="Identity and Access Management"/>
    <s v="4.1.1"/>
    <s v="To what extent is the use of identification means managed?"/>
    <s v="Inwieweit wird die Verwendung von Identifikationsmitteln verwaltet?"/>
    <x v="2"/>
    <s v="Welche system oder Schlüssel bekomme ich um zu meinem Arbeitsplatz zu kommen. Gilt dieser Zugang dann ewig oder nur für bestimmten Zeitraum und wir reviewed? Kein Lifecycle! spätestens alle 2 Jahre muss bei der HR der Zugang erneuert werden. HR trackt dies nachweislich. Bei Leiharbeiter oder befristeten Arbeitsverträge, ggf. direkt an Vertragsende knüpfen sodas der Zugang automatisch abläuft. Es muss beschrieben und dem MA klar sein was zu tun ist wenn er den Wer ist freigeschalten für die sensiblen Bereiche und zeige mir das in einem tool. Beispiel. türe 23, wer darf alles rein? Wie ist die Rückverfolgbarkeit, wann hat wer, welche Zugriffe bekommen und wurden entfernt._x000a__x000a_Fokus: Physische Sicherheit für Arbeitsbereich, Zutrittsprozess in HR für Werksgelände, _x000a_Automatischer Ablauf vom Badge und/oder Schlüssel fehlt und muss implementiert, Leiharbeiter gleiche Prozedur für Ablauf Arbeitsvertrag (Befristete Arbeitsverträge), _x000a_Gibt es eine klare Beschreibung wenn der MA den Chip/Schlüssel verliert? -&gt; Überlegung Teil der HR-Policy auch für MA Onboarding und Information._x000a_Bei physischen Schlüssel gleiche Vorgangsweise für unverzügliche Verlustanzeige._x000a_Auditorfrage: Wer darf in Türe No NN und wo ist der Prozess abgebildet (Workflow mit Klara besprechen) -&gt; Rückverfolgbarkeit"/>
    <n v="2"/>
    <n v="3"/>
    <n v="1"/>
    <s v="2 Jahre Lifecycle für Badget auch für Schlüssel"/>
    <x v="16"/>
    <x v="0"/>
    <x v="2"/>
    <x v="0"/>
    <m/>
    <m/>
    <m/>
    <n v="1"/>
  </r>
  <r>
    <s v="F-024"/>
    <s v="Information Security"/>
    <s v="Identity and Access Management"/>
    <s v="4.1.2"/>
    <s v="To what extent is the user access to IT services and IT systems secured?"/>
    <s v="Inwieweit ist der Zugang des Nutzers zu IT-Diensten und IT-Systemen gesichert?"/>
    <x v="2"/>
    <s v="Wo kein MFA -&gt; Frage: Sind dort vertrauliche Informationen hinterlegt._x000a_Wenn mit gleichem Account in der Erstanmeldung MFA erfolgt und gleicher Account im Folgesystem ohne MFA, dann gilt der MFA von der Erstanmeldung._x000a_Brute Force e.g. nur bei ext. Zugriff und vorher MFA ?!_x000a__x000a_Digital Wallet (Passwort Tresor im Einsatz), Nachweis und lokal verfügbarer Tresor, Training?_x000a__x000a_Umsetzung für OT?"/>
    <n v="1"/>
    <n v="3"/>
    <n v="2"/>
    <s v="Umsetzung OT"/>
    <x v="16"/>
    <x v="0"/>
    <x v="2"/>
    <x v="0"/>
    <m/>
    <m/>
    <m/>
    <n v="1"/>
  </r>
  <r>
    <s v="F-025"/>
    <s v="Information Security"/>
    <s v="Identity and Access Management"/>
    <s v="4.1.3"/>
    <s v="To what extent are user accounts and login information securely managed and applied?"/>
    <s v="Inwieweit werden Benutzerkonten und Login-Informationen sicher verwaltet und angewendet?"/>
    <x v="2"/>
    <s v="Was bedeutet das in der Umsetzung für OT?_x000a_Verwendbarkeit des Shared Account nur intern verwendbar oder auch von Außen (mit Zugriff) ?_x000a_IT/OT Partner Zugriff auf Shared Accounts? (prüfen, nicht zulässig)_x000a_Überprüfung ob Accounts noch funktionieren, oder deaktiviert, für LP_x000a_Minimaler Zugriff: Def. Zugriffsmatrix über Line_x000a__x000a_Wie kommt der MA zum Benutzeraccount?  (gegeben im HR Joiner Prozess)_x000a__x000a_Ext. MA -&gt; Gleicher Account wie Interner, oder anderer Bezeichnung, _x000a_Klassifizierung von ext. MA, 1. Teamviewer, 2. User und Gerät, 3. Int. zu Ext. MA._x000a_Überlegung: Bezeichnung EXT in der Mail-Adresse (interessant für OEMs)."/>
    <n v="2"/>
    <n v="3"/>
    <n v="1"/>
    <s v="Umsetzung OT, Least Privil./Need-to-know Prinzip Umsetzung, Howto Aufbau für Teamleads etc._x000a_Bezeichnung EXT in der Mail-Adresse (interessant für OEMs)."/>
    <x v="16"/>
    <x v="0"/>
    <x v="2"/>
    <x v="0"/>
    <m/>
    <m/>
    <m/>
    <n v="1"/>
  </r>
  <r>
    <s v="F-026"/>
    <s v="Information Security"/>
    <s v="Identity and Access Management"/>
    <s v="4.2.1"/>
    <s v="To what extent are access rights assigned and managed?"/>
    <s v="Inwieweit werden Zugriffsrechte zugewiesen und verwaltet?"/>
    <x v="2"/>
    <s v="Wer hat welche Berechtigungen, wer gibt es frei? Es ist egal ob OT oder File oder auf Anwendungsebene. Wer überprüft und wie ist sichergestellt das es abläuft bzw. bei Änderungen mehr oder weniger Rechte bekommt. _x000a_Kann z.B. die HR im ERP Kundeninformationen oder Rechnungen einsehen? _x000a_Wir müssen auch extrem auf die Projekte achten, wie ist es mit zentralen Projektordnern und kann es sein das jemand auch noch nach 3 Jahren Zugriff auf die Ordner hat?_x000a_Wenn z.b. auf Teams share einladungen verschickt werden, bleibt das dann für immer?_x000a_Wer ist der Verantwortliche von welchem System und wie bekommt er Änderungen in Bezug auf Rechte mit oder stellt den request?_x000a__x000a_Role-based authorization (RBAC)_x000a_Privileged Access Management (PAM)_x000a_Just-in-Time / Just-Enough Access (elevated rights only for short periods, e.g., Local Admin for 8 hours)_x000a_Lifecycle-based authorization control_x000a__x000a_Info: Auditoren schauen hauptsächliche auf Dateien und Ordnerebene und Projektorganissation und der Zugriffsrechte (e.g. Teams f. Channelzugriffe etc.)"/>
    <n v="2"/>
    <n v="3"/>
    <n v="1"/>
    <s v="_x000a__x000a_Implementierung Approval ISB für Approval von Zugriffsrechten._x000a_Umsetzung Workflow für den Verantwortlichenn SW/Tool Inhaber bei Verteilung von Rollen und Rechten -&gt; wie ist der ISB involviert. _x000a__x000a_"/>
    <x v="16"/>
    <x v="0"/>
    <x v="2"/>
    <x v="0"/>
    <m/>
    <m/>
    <m/>
    <n v="1"/>
  </r>
  <r>
    <s v="F-027"/>
    <s v="Information Security"/>
    <s v="IT(OT) Security / Cyber Security"/>
    <s v="5.1.1"/>
    <s v="To what extent is the use of cryptographic procedures managed?"/>
    <s v="Inwieweit wird der Einsatz kryptografischer Verfahren gesteuert?"/>
    <x v="1"/>
    <s v="wie wird sichergestellt das Verschlüsselung anhand der Klassifizierung stattfindet?_x000a_ wie stellen wir ein Notfallprozess dar zur Wiederherstellung_x000a_wo beziehen wir Zertifikate und wo setzten wir überall Zertifikate ein. Wer ist für die Zertifikate verantwortlich. CA-ROOT_x000a_Bank- USB Stick- unterschriftsdatei ist ggf. sogar in der cloud_x000a__x000a_Wer ist die CA-Root, woher kommen die Zertifikate und wie werden die Zertifikate in welchem Prozess erneuert. Halb- und/oder Vollautomatische CA -Root mit Revoking-List._x000a_Wie sieht der Prozess aus und die Nachweise für Umsetzung für die IT._x000a_Umsetzung in OT J/N für Certificate Handling."/>
    <n v="1"/>
    <n v="3"/>
    <n v="2"/>
    <s v="Siehe dazu die Ausführungen ENX im Screenshot  - 2 Auditplanungen (IT und OT)_x000a_ISB -&gt; Sascha Pulver für Zertifikats-Fokus"/>
    <x v="16"/>
    <x v="0"/>
    <x v="3"/>
    <x v="0"/>
    <m/>
    <m/>
    <m/>
    <n v="1"/>
  </r>
  <r>
    <s v="F-028"/>
    <s v="Information Security"/>
    <s v="IT(OT) Security / Cyber Security"/>
    <s v="5.1.2"/>
    <s v="To what extent is information protected during transfer?"/>
    <s v="Inwieweit sind Informationen während der Übertragung geschützt?"/>
    <x v="0"/>
    <s v="Verträge werden unverschlüsselt versendet auch andere “vertrauliche”? Dokumente werden versendet. Was machen wir nach dem Portal. sobald die Daten bei uns sind die aus dem B2B Kundenportal kommen. Lösungsvorschlag: Trainieren und packen / verschlüsseln_x000a_Wenn der Kunde uns vertrauliche informationen zuschickt müssen wir dies auch in unserer Lieferkette berücksichtigen. wie stellen wir das sicher?_x000a_Werden Gehaltszettel per email versendet, wie läuft das?_x000a__x000a_Auditfrage: MA hat vertrauliche Vertragsdokument vom OEM, wie geht er damit im Datenaustausch um? -&gt; Zip + Pswd und dann wieder Upload - Training an MA: Mit welchen klassifizierten Dokumenten muss das so gemacht werden? (Thema: Klassifizierung)_x000a_-&gt; SK PDF Passwort immer das Gleiche._x000a_"/>
    <n v="3"/>
    <n v="3"/>
    <n v="0"/>
    <s v="Tipp vom Auditor: Zippen und Verschlüsseln als Anweisung im Workflow (!)_x000a_Windows 11 kann zwar zippen aber nicht verschlüsseln._x000a_ 7-Zip (in Matrix41 enthalten !) -&gt; ausrollen für alles User !_x000a_Patrick G. hat mit Sascha P. gesprochen: SW Asset Mgmt. müssen wir eine Zusatzlizenz erwerben (Angebotanfrage über S. Pulver)"/>
    <x v="16"/>
    <x v="0"/>
    <x v="4"/>
    <x v="0"/>
    <m/>
    <m/>
    <m/>
    <n v="1"/>
  </r>
  <r>
    <s v="F-029"/>
    <s v="Information Security"/>
    <s v="IT(OT) Security / Cyber Security"/>
    <s v="5.2.1"/>
    <s v="To what extent are changes managed?"/>
    <s v="Inwieweit werden Veränderungen verwaltet?"/>
    <x v="1"/>
    <s v="Werden Patches bezüglich Auswirkungen auf Sicherheit geprüft? _x000a_Auch für OT?_x000a_Wie ist der Changemanagment Prozess beschrieben? _x000a_Gibt es ein formales Genehmigungsverfahren. Ab wann ist etwas ein change? Gibt es ein Notfallverfahren falls changes nicht funktioniert haben. Ab wann ist es kein change sondern ein Projekt indem dann der eigentlich Change Projektbestandteil wird._x000a__x000a_Wie werden Changes im IT und OT Bereich behandelt und umgesetzt?_x000a_ITILv3/v4 und ITSM für Change Mgmt. und CAB bzw. Change Authority_x000a_Teil des ISW (ISW dafür im Gremiensteckbrief anpassen), Umsetzung für OT im Change Mgmt. muss noch erfolgen. Was ist ein Change mit entspr. Auswirkung (e.g. Facility und phys. Sicherheit)_x000a_Gehnemigungsverfahren ist Teil des ISW._x000a__x000a_"/>
    <n v="1"/>
    <n v="3"/>
    <n v="2"/>
    <s v="OT Berücksichtigung !_x000a_Change Mgmt integriert in ISW Antrag -&gt; ISB -&gt; Aufbau Change Mgmt. Liste -&gt; Besprechung und Approval OKA/Rejection/OK im ISW_x000a_Projektspezifische Change extra_x000a__x000a_Gremiensteckbrief_x000a__x000a_Very High Avail: + Compliance with the information security requirements is verified during and after the changes are applied. (C, I, A)"/>
    <x v="16"/>
    <x v="4"/>
    <x v="3"/>
    <x v="0"/>
    <m/>
    <m/>
    <m/>
    <n v="1"/>
  </r>
  <r>
    <s v="F-030"/>
    <s v="Information Security"/>
    <s v="IT(OT) Security / Cyber Security"/>
    <s v="5.2.2"/>
    <s v="To what extent are development and testing environments separated from operational environments?"/>
    <s v="Inwieweit sind Entwicklungs- und Testumgebungen von operativen Umgebungen getrennt?"/>
    <x v="2"/>
    <s v="Wie ist ein Entwickung- und Testsystem bei den Steuerungen der Maschinen gegeben, wie werden Änderungen verifiziert bevor sie auf die “LIVE” Maschine gehen?_x000a_Abgenommen R&amp;R müsste nach Änderungen ggf. dem Kunden wieder proaktiv genannt werden_x000a__x000a_Auditfrage: E.g. für ERP-System, Featureimplementierung -&gt; 3 stufiges System, Entwicklung, Testing, dann Prod (gegeben für ERP)_x000a_Läuft das im OT-Bereich? Roleback? (e.g. Produktionslinie VW zutreffend?!)_x000a_Prozedere ohne Testing: Backup im Sommer bei Werksferien und dann Release Update."/>
    <n v="2"/>
    <n v="3"/>
    <n v="1"/>
    <s v="OT Umsetzung Testing / Prod Stageing_x000a_Run &amp; Rate für OEMs (Kunden) Info's gem. vertraglicher Vorgaben umgesetzt?_x000a_"/>
    <x v="17"/>
    <x v="4"/>
    <x v="2"/>
    <x v="0"/>
    <m/>
    <m/>
    <m/>
    <n v="1"/>
  </r>
  <r>
    <s v="F-031"/>
    <s v="Information Security"/>
    <s v="IT(OT) Security / Cyber Security"/>
    <s v="5.2.3"/>
    <s v="To what extent are IT systems protected against malware?"/>
    <s v="Inwieweit sind IT-Systeme vor Malware geschützt?"/>
    <x v="2"/>
    <s v="Updatemechanismus, von Entpoint. Reporting von MDR ?_x000a_Kein Schutz für OT Endpoint (Maschine) nur wenn von Außen gut geschützt nicht notwendig. _x000a_Wie ist sichergestellt das die Einstellungen nicht geändert werden ohne das es jemand mitbekommt (Roland hatte da auch ein Bsp. von einem Anlagenbauer)_x000a__x000a_Viren-Signaturenupdate für alle Assets im Sophos Bereich. Endpointsprotection MDR (24x7), NDR (24x7), bis auf Clients outgescourced.  Dienstleister liegt vor 24x7, bei Incident Report -&gt; Aufbereiten für Nachweise._x000a__x000a_Beschreibung aus ISRA für OT Bereich warum dort nicht relevant, weil kein Zugriff von Außen etc._x000a_MES Relevanz für SaaS und OT-Desktop(s) -&gt; keine IT-Notebooks ?_x000a_USB-Sticks werden vorab gescannt  in OT?"/>
    <n v="2"/>
    <n v="3"/>
    <n v="1"/>
    <s v="Beschreibung aus ISRA für OT Bereich warum dort nicht relevant, weil kein Zugriff von Außen etc. -&gt; Nicht relevant bei keinen ext. Zugriffen -&gt; Prüfen für OT!"/>
    <x v="17"/>
    <x v="4"/>
    <x v="2"/>
    <x v="0"/>
    <m/>
    <m/>
    <m/>
    <n v="1"/>
  </r>
  <r>
    <s v="F-032"/>
    <s v="Information Security"/>
    <s v="IT(OT) Security / Cyber Security"/>
    <s v="5.2.4"/>
    <s v="To what extent are event logs recorded and analysed?"/>
    <s v="Inwieweit werden Ereignisprotokolle aufgezeichnet und analysiert?"/>
    <x v="2"/>
    <s v="Eventlogs und Protokolle, Ereignissprotokolle im OT Bereich? Wie lange werden logs gespeichert?_x000a__x000a_Im Sophos Central laufen die lizenzierten Module (FW, Access Points, Switches, etc.) zusammen, darauf greift das MDR zu für Netzwerkgeräte. Reporting erfolgt in die Cloud zu Sophos Central._x000a_OT: Liegen Event-Logs von PROD/OT Assets vor?_x000a_Log Retention Rate wie definiert. Zeitpunkt und/oder Datenvolumen?"/>
    <n v="2"/>
    <n v="3"/>
    <n v="1"/>
    <s v="OT: Liegen Event-Logs von PROD/OT Assets vor?_x000a_Log Retention Rate wie definiert. Zeitpunkt und/oder Datenvolumen?"/>
    <x v="17"/>
    <x v="4"/>
    <x v="2"/>
    <x v="0"/>
    <m/>
    <m/>
    <m/>
    <n v="1"/>
  </r>
  <r>
    <s v="F-033"/>
    <s v="Information Security"/>
    <s v="IT(OT) Security / Cyber Security"/>
    <s v="5.2.5"/>
    <s v="To what extent are vulnerabilities identified and addressed?"/>
    <s v="Inwieweit werden Schwachstellen identifiziert und behoben?"/>
    <x v="1"/>
    <s v="Wie wird das Patchmanagement im OT oder Facility Bereich gehändelt. Kamera, Türsteuerung, Klima, Drucker oder sonstige Geräte?_x000a_Schwachstellenmanagement im OT Bereich, Wer bekommt das mit, wie werden die bewertet und eingeplant. Ist in der Regel parallel zum Matrix42 und daher in 2 verschiedenen Systemen geführt._x000a__x000a_Referenz zu Kontroll 1.5.1. Die Regelmäßige Überwachung findet Technisch und systemseitig durch Matrix42 statt. deshalb muss es da mit aufgenommen werden._x000a__x000a_Coverage Matrix follows additional VM Policy or Standard beyound IT/OT Operation Policy tbd. (!)_x000a__x000a_Auditor: Der Markt hat kein einheitliches System für IT &amp; OT._x000a_Nachweise für OT was für Maßnahmen wenn Vulnerabiltiies, inkl. ISRA."/>
    <n v="1"/>
    <n v="3"/>
    <n v="2"/>
    <s v="2 verschiedene Tools im VM, a) Matrix 42 b) Open CVE -&gt; Eigen Trackingliste + PDCA_x000a_Referenz zu Kontroll 1.5.1. Die Regelmäßige Überwachung findet Technisch und systemseitig durch Matrix42 statt. deshalb muss es da mit aufgenommen werden."/>
    <x v="17"/>
    <x v="4"/>
    <x v="0"/>
    <x v="0"/>
    <m/>
    <m/>
    <m/>
    <n v="1"/>
  </r>
  <r>
    <s v="F-034"/>
    <s v="Information Security"/>
    <s v="IT(OT) Security / Cyber Security"/>
    <s v="5.2.6"/>
    <s v="To what extent are IT systems and services technically checked (system and service audit)?"/>
    <s v="Inwieweit werden IT-Systeme und -Dienste technisch überprüft (System- und Service-Audit)?"/>
    <x v="1"/>
    <s v="Gibt es Tests von außen und Audits die die kritischen systeme prüft auch OT. Was sind alles kritische systeme auch mit Blick auf unsere sehr hohe Verfügbarkeit_x000a_Hinweis: Nur grün wenn tatsächlich überprüft und dokumentiert_x000a__x000a_Auditor: PenTesting für kritische Systeme gegeben für IT und OT, speziell wenn von Außen zugegriffen werden kann. Reporting als Nachweiss. / inl. Internet Facing Application(s)_x000a_Bitte VeryHIghA. berücksichtigen für System die nicht gescanned werden können."/>
    <n v="1"/>
    <n v="3"/>
    <n v="2"/>
    <s v="OT mit berücksichtigen; Bewertung für kritische Systeme (SPSSn, ERP), was sind die kritischen Geschäftsprozesse bzgl. Verfügbarkeiten?_x000a_Ext. PenTesting für krit. IT/OT Systeme."/>
    <x v="17"/>
    <x v="4"/>
    <x v="0"/>
    <x v="0"/>
    <m/>
    <m/>
    <m/>
    <n v="1"/>
  </r>
  <r>
    <s v="F-035"/>
    <s v="Information Security"/>
    <s v="IT(OT) Security / Cyber Security"/>
    <s v="5.2.7"/>
    <s v="To what extent is the network of the organization managed?"/>
    <s v="Inwieweit wird das Netzwerk der Organisation verwaltet?"/>
    <x v="2"/>
    <s v="Welche Netzwerksegmente gibt es. Topologie, Netzwerkplan, wird alles über die FW geroutet?_x000a_Wie äuft der Zugriff auf die Firewall, wie sieht die Darstellung im Bereich der einzelenen RED´s zur “Mama” FW aus. Wie wird es administriert und wer hat Zugriff. Admin Logs?_x000a__x000a_Auditfragen: Welche Netzwerksegmentierungen existieren, VLANs, Routing der FWs in das Netz, Welche Netzwerktools exisiteren? -&gt; Steuerung über VLANs ausschließlich, Ausnahme Wifi -&gt; Ein Wifi für MA._x000a__x000a_High Availability -&gt; Admin Zugriff, und Dokumentiert für relevante Admin Rechte._x000a_Darstellung Umsetzung -&gt; Patrick schreibt auf (Netzwerkaufbau)"/>
    <n v="1"/>
    <n v="3"/>
    <n v="2"/>
    <s v="REDs = Aff. Standorte, TBV-&gt; für richtige FWs (RED für OT Netz und nicht mehr über den LTE Router)_x000a__x000a_High Availability -&gt; Admin Zugriff, und Dokumentiert für relevante Admin Rechte._x000a_Darstellung Umsetzung -&gt; Patrick schreibt auf (Netzwerkaufbau)_x000a__x000a_Netzwerkpläne aktualisieren (!) -&gt; IT und auch für OT-Zonen (SK) inkl. PLN / eigens VLAN und Zonierung (Engin. läuft -&gt; ISW ZAAB berücksichtigen)"/>
    <x v="17"/>
    <x v="4"/>
    <x v="0"/>
    <x v="0"/>
    <m/>
    <m/>
    <m/>
    <n v="1"/>
  </r>
  <r>
    <s v="F-036"/>
    <s v="Information Security"/>
    <s v="IT(OT) Security / Cyber Security"/>
    <s v="5.2.8"/>
    <s v="To what extent is continuity planning for IT services in place?"/>
    <s v="Inwieweit ist die Kontinuitätsplanung für IT(OT)-Dienstleistungen vorhanden?"/>
    <x v="2"/>
    <s v="Business Impact Analyse mit Relevanten Zahlen / Zeiten für Kritsische Service und dann die Test machen ob die systeme wieder in der angegebenen zeiten wieder passen. Wie läuft das in OT? Es muss nicht alles auf einmal getestet werden. Ein system pro Quartal. Einen Plan erstellen und dokumentieren. Georedundante Backups im OT Bereich, Zum Testen einefach ein Plan erstellen, was, wann, wie, getestet wird, nicht alles auf einmal notwendig_x000a__x000a_Auditor: Anforderungen überprüfen für Full - Recovery Time im BCM/DR Kontext für vollumfängliche technische Widerherstellung._x000a_Plan 1 x Quartal Widerherstellungtest für best. Application/System_x000a__x000a_Backup-Szenarien und geografisch, Backup Testing in den Zeitintervallen."/>
    <n v="1"/>
    <n v="3"/>
    <n v="2"/>
    <s v="OT für BIA/GAP und DR überprüfen._x000a__x000a_Notfalltests/Widerherstellungen Exercises pro Quartal für kritische Applicationen._x000a__x000a_Ergebnis von BIA -&gt; GAP und Vorgaben Emergency Planning und Testing IT &amp; OT !"/>
    <x v="17"/>
    <x v="4"/>
    <x v="0"/>
    <x v="0"/>
    <m/>
    <m/>
    <m/>
    <n v="1"/>
  </r>
  <r>
    <s v="F-037"/>
    <s v="Information Security"/>
    <s v="IT(OT) Security / Cyber Security"/>
    <s v="5.2.9"/>
    <s v="To what extent is the backup and recovery of data and IT services ensured?"/>
    <s v="Inwieweit ist das Backup und die Wiederherstellung von Daten und IT-Diensten gewährleistet?"/>
    <x v="0"/>
    <s v="_x000a_Geo-Redundante Backups_x000a_High &amp; Very High beachten !"/>
    <n v="2"/>
    <n v="3"/>
    <n v="1"/>
    <s v="OT Backups und IT Verfahren (Veeam)_x000a_Geo-Redundanz ist durch IT-Backups nicht in SK/PL gegeben (!)"/>
    <x v="17"/>
    <x v="4"/>
    <x v="0"/>
    <x v="0"/>
    <m/>
    <m/>
    <m/>
    <n v="1"/>
  </r>
  <r>
    <s v="F-038"/>
    <s v="Information Security"/>
    <s v="IT(OT) Security / Cyber Security"/>
    <s v="5.3.1"/>
    <s v="To what extent is information security considered in new or further developed IT systems?"/>
    <s v="Inwieweit wird Informationssicherheit in neuen oder weiterentwickelten IT-Systemen berücksichtigt?"/>
    <x v="2"/>
    <s v="Aussage Auditor: Die Checkliste mit den Anforderungen an die Systeme ist ganz gut.  Da dagegen zyklische Checks machen. _x000a_Wer ist bei der Anschaffung involviert. _x000a_Wie gehen wir mit Eigenentwicklung und eigene Programierungen als Anpassung um? Dies gilt es zu vermeiden, das Anpassungen nicht bzgl. Inf.Sec. Impakt betrachtet werden (zyklisch)._x000a__x000a_ Nachprüfung auf kommender BIA und Gap-Analysis. Unterscheidung Build und Customized SW für Very High Availability. Aktuell nicht gegeben."/>
    <n v="2"/>
    <n v="3"/>
    <n v="1"/>
    <s v="Zyklischer Bewertungsprozess IT und OT neben generellem Assessment. (OT offen)"/>
    <x v="17"/>
    <x v="4"/>
    <x v="0"/>
    <x v="0"/>
    <m/>
    <m/>
    <m/>
    <n v="1"/>
  </r>
  <r>
    <s v="F-039"/>
    <s v="Information Security"/>
    <s v="IT(OT) Security / Cyber Security"/>
    <s v="5.3.2"/>
    <s v="To what extent are requirements for network services defined?"/>
    <s v="Inwieweit sind Anforderungen an Netzwerkdienste definiert?"/>
    <x v="2"/>
    <s v="Wie sehen die SLA´s zu den Provider aus -&gt; Vertragliche Vereinbarungen und Anpassungen wo erforderlich. _x000a_Auch die Redundanz muss beschrieben sein. wurde das mal getestet? _x000a_Wie wird der traffic gemessen, nachweisen das die Bandbreite ausreicht (Bitte Failover Konzept und Ice-Licensing betrachten._x000a__x000a_'Auditorfragen: Bei zentralen Services, wie kommen Polen, SK in das zentrale Netzwerk und Diensteanbieter SLAs bei Netzwerkausfall  (Netzwerkprovider: Telecom und SWAN); Welche SLAs gibt es mit dem Provider und wie erfolgt die Umschaltung? -&gt; 3 Verbindung in SK beauftragt_x000a_Dokumentation ergänzen -&gt; Mark Lütz; für PL noch zu betrachten_x000a_Dashboard für Verfügbarkeit (FWs bei 2 Lanes), Measurement darstellen (ggfs. in KPI einbetten),_x000a_Performance Indikatoren."/>
    <n v="2"/>
    <n v="3"/>
    <n v="1"/>
    <s v="Netzwerk aller Lokationen, aber insbesonder auch für die OT Relevanz in den Plants"/>
    <x v="17"/>
    <x v="0"/>
    <x v="0"/>
    <x v="0"/>
    <m/>
    <m/>
    <m/>
    <n v="1"/>
  </r>
  <r>
    <s v="F-040"/>
    <s v="Information Security"/>
    <s v="IT(OT) Security / Cyber Security"/>
    <s v="5.3.3"/>
    <s v="To what extent is the return and secure removal of information assets from external IT services regulated?"/>
    <s v="Inwieweit wird die Rückgabe und sichere Entfernung von Informationsressourcen aus externen IT-Diensten reguliert?"/>
    <x v="2"/>
    <s v="Wie werden Devices (Assets) außer non prod gesetzt?_x000a_Wer macht das, wo steht das? Und ist sichergestellt das die Geräte auch aus der Assetliste entfernt wurden. Auch für OT. _x000a_Wie bekomme ich Daten von extern Anbietern oder Cloud wieder zurück wenn der Vertrag nicht mehr verlängert werden. Und wie wird Vertraglich sichergestellt das die Daten beim Provider gelöscht werden?_x000a__x000a_Auditorfragen: Disposal process der Infr. Assets für IT &amp;OT, Wichtiger Punkt: Übernahme von Daten (ext. SaaS) in REUTIB in der Verfügbarkeitsstellung, Wie oft kommt das in der REUTIB vor (Beispiele)"/>
    <n v="2"/>
    <n v="3"/>
    <n v="1"/>
    <s v="RL Asset Mgmt. ist Basis, ggfs. daraus und aus der IT/OT Policy einen Standard erzeugen. OT muss hier besonders betrachtet werden. Anwendbarkeit und Nachweisbarkeite Asset Liste -&gt; OT und IT Matrix42 (prüfen ob alle Assets in Matrix 42 enthalten sind (hier gibt es eine neue Lizens für Asset Mgmt. (Mark/Patrick Alignment)_x000a_-&gt; Disposal Prozesse in OT einbringen und in prod etc. etablieren (ggfs. KPI !)"/>
    <x v="17"/>
    <x v="4"/>
    <x v="0"/>
    <x v="0"/>
    <m/>
    <m/>
    <m/>
    <n v="1"/>
  </r>
  <r>
    <s v="F-041"/>
    <s v="Information Security"/>
    <s v="IT(OT) Security / Cyber Security"/>
    <s v="5.3.4"/>
    <s v="To what extent is information protected in shared external IT services?"/>
    <s v="Inwieweit sind Informationen in gemeinsamen externen IT-Diensten geschützt?"/>
    <x v="2"/>
    <s v=" Shared oder Private Cloud. selbst wenn getrennt durch Mandanten kann es sein das wir an die Daten nicht mehr rankommen weil Sie nicht sauber getrennt sind in einer “shared” Umgebung. Ggf. durch Risikobewertung lösen._x000a__x000a_'Auditorfragen:  Datenseparation/Mandatentrennung durch OEM Auflagen; wichtig durchführung ISRA (Risk assessment for the operation of external software within the shared environment), ob etwas auffällt."/>
    <n v="2"/>
    <n v="3"/>
    <n v="1"/>
    <s v="Vertragliche Exit Strategien mit Data-Safety und -Hand-Over Szenarien._x000a_SaaS Assessment anwenden - existiert und wurde von Mark Luetz erzeugt, dann in ISRA übergeben."/>
    <x v="17"/>
    <x v="4"/>
    <x v="0"/>
    <x v="0"/>
    <m/>
    <m/>
    <m/>
    <n v="1"/>
  </r>
  <r>
    <s v="F-042"/>
    <s v="Information Security"/>
    <s v="Supplier Relationships"/>
    <s v="6.1.1"/>
    <s v="To what extent is information security ensured among contractors and cooperation partners?"/>
    <s v="Inwieweit wird Informationssicherheit zwischen Auftragnehmern und Kooperationspartnern gewährleistet?"/>
    <x v="2"/>
    <s v="Auditor-Standartfrage ist hier: Gibt es ein Verfahren oder Vorgaben wie Lieferanten Ihre Informationssicherherheitsanforderungen erfüllen. Das auch in Regelmäßigen abständen überprüft wird. _x000a_Was ist ein Lieferant was ist ein externer DL oder IT DL? _x000a_NUR AUS INFOSEC BETRACHTEN _x000a__x000a_Wer Kategorisiert die Lieferanten und ist das beschrieben? Informationssicherheitsrelevante Lieferanten identifizieren._x000a_Müssen auf unsere Kundenverträge schauen. Dort wird manchmal die Kategorie vorgegeben und wir müssen die dann weitergeben. Also wenn ein Kunde uns als kritischen Lieferanten einstuft dann müssen wir das bei unseren Lieferanten auch machen._x000a__x000a_'Standardfrage: Wie werden die Informationsicherheitsanforderungen der Lieferanten erfüllt._x000a_Supplier Chain &amp; Third Party Policy_x000a_Review Mechanismus über Liste und Policy_x000a_All Lieferanten sollten bewertet werden -&gt; Informationssicherheitsrelevante Lieferanten (Welcher Supplier ist wirklich sicherheitsrelevant? CIA) -&gt; vertragliche Relefanz_x000a_4 Einstufungen -&gt; gegeben, inkl. regelmäßiger Überprüfung_x000a_Verantwortlichkeiten Einstufung und wer prüft._x000a_Wie wird die Durchführung hier für Wirksamkeitsnachweis geprüft -&gt; ISMS"/>
    <n v="2"/>
    <n v="3"/>
    <n v="1"/>
    <s v="Umsetzung: Erfüllung Informationsicherheitsanforderungen der Lieferanten._x000a_Aufnahme und Umsetzung mit Günther P. im Kontext der Supplier Chain &amp; 3rd Party RL_x000a_Standard und Workflows abbilden._x000a_Erste Aktion: Liste bewerten (CIA Triag inkl BCM/DR) für Hohe/Kritische Supplier; da dürfte wenig herauskommen -&gt; Prozess und Workflow für Bestands- und Neukunden etablieren."/>
    <x v="18"/>
    <x v="0"/>
    <x v="0"/>
    <x v="0"/>
    <m/>
    <m/>
    <m/>
    <n v="1"/>
  </r>
  <r>
    <s v="F-043"/>
    <s v="Information Security"/>
    <s v="Supplier Relationships"/>
    <s v="6.1.2"/>
    <s v="To what extent is non-disclosure regarding the exchange of information contractually agreed?"/>
    <s v="Inwieweit ist die Nichtoffenlegung bezüglich des Informationsaustauschs vertraglich vereinbart?"/>
    <x v="0"/>
    <s v="Hier nochmal gegenprüfen und keine NDA Vorlagen akzeptieren und wenn dann nur wenn die Anforderungen gegeben sind. _x000a_Ein Prozess, mit dem die Gültigkeitsdauer von befristeten Geheimhaltungsvereinbarungen überwacht und rechtzeitig eine Verlängerung der Geheimhaltungsvereinbarungen angestoßen wird, ist definiert und umgesetzt._x000a__x000a__x000a_Sind die TISAX Vorgaben in den NDAs enthalten und nicht vertraglich teil/ausgeschlossen?_x000a_Prozess für notwendige NDA Verlängerung bei Auslaufen des NDA ist aktuell nicht vorhanden._x000a_-&gt; Supply Chain und/oder PM ist für Verlängerung verantwortlich._x000a_NDA handling in Policy vorhanden?!"/>
    <n v="3"/>
    <n v="3"/>
    <n v="0"/>
    <s v="Fokus: NDAs Vorgabe -&gt; REUTIB NDAs sind maßgebend_x000a_Supplier Chain &amp; 3rd Party RL prüfen für NDA Handling."/>
    <x v="19"/>
    <x v="0"/>
    <x v="0"/>
    <x v="0"/>
    <m/>
    <m/>
    <m/>
    <n v="1"/>
  </r>
  <r>
    <s v="F-044"/>
    <s v="Information Security"/>
    <s v="Compliance"/>
    <s v="7.1.1"/>
    <s v="To what extent is compliance with regulatory and contractual provisions ensured?"/>
    <s v="Inwieweit ist die Einhaltung regulatorischer und vertraglicher Bestimmungen gewährleistet?"/>
    <x v="0"/>
    <s v="In jedem Land muss es ein verantwortlichen geben, wo ist das definiert? Wer prüft die Verträge im Hinblick auf auf die Informationssicherheit und steuert diese Infos dann in der Gruppe ein. _x000a_Auch im Projekt, es muss sichergestellt sein das die Beteiligten die Infos kennen die der Vertrieb ggf. vertraglich mit dem Kunden vereinbart hat._x000a_Runterbrechen, Welche Verträge gibt es überhaupt? Eine Richtlinie die den WF beschreibt wie mit den Anforderungen / Verträgen umgegangen wird. Da wir einige Länder und Lokationen haben denkt er das dies interessant beim Audit sein könnte._x000a__x000a_Vertragsprüfung (PSA Produkt Spezfischer Anhang) auf Gruppenebene für Vertrag und Anhang._x000a_Verfahren für Transformation IT -&gt; SK (?!) für Vertragsebene im Projekt._x000a_Wer prüft die Verträge im Hinblick auf Informationssicherheit und steuer diese Info's in der Gruppe ein -&gt; Prozess und Workflow für Kommunikation und Informtionsfluss der ges. Vereinbarungen Gruppenebene zu Plants (e.g.)_x000a_Länderübergreifend mit regionaler Verantwortlichkeit -&gt; Wo ist das definiert?"/>
    <n v="3"/>
    <n v="3"/>
    <n v="0"/>
    <s v="RACI Adaption und Prüfung gegen jede Lokation für Verantwortlich. Vorgabe in RL, besser: Standard, Training._x000a_Projekt mit einbeziehen._x000a_Vertragsrespository (ggfs. aus versch. Quellen virtuell) aufbauen und zyklischen Prozess für Prüfung._x000a_RL Supplier Chain &amp; 3rd Party gegenprüfen für Workflow Vorgabe (habe ich so aber gemacht / M. Lütz)."/>
    <x v="20"/>
    <x v="0"/>
    <x v="0"/>
    <x v="0"/>
    <m/>
    <m/>
    <m/>
    <n v="1"/>
  </r>
  <r>
    <s v="F-045"/>
    <s v="Information Security"/>
    <s v="Compliance"/>
    <s v="7.1.2"/>
    <s v="To what extent is the protection of personally identifiable data considered when implementing information security?"/>
    <s v="Inwieweit wird der Schutz personenbezogener Daten bei der Implementierung der Informationssicherheit berücksichtigt?"/>
    <x v="2"/>
    <s v="Auch hier auf die Länder runterbrechen. Selbst wenn wir einn externen DSB haben brauchen wir lokale verantwortliche. Diese müssen definiert sein und wissen wo sie sich bei welchen Fällen melden können. Manchmal sind auch lokale Behörden zu informieren, dies muss auch in die Beschreibung. Die info muss an alle raus, jeder muss wissen an wen er sich bei was wenden muss._x000a__x000a_Globaler DPO für alle pan-EU Regionen analog GPDR_x000a_Prozess und Meldewesen für Data Breach etc._x000a_Policies in SK und PL und der Prozess für Verantwortlichkeiten._x000a_Wenn Darstellungen fehlen, dann Level 2"/>
    <n v="2"/>
    <n v="3"/>
    <n v="1"/>
    <s v="Bestellung DSB in QBD.net ablegen. Lokale int. DSOs_x000a_Policy Datenschutz noch in SK, PL und SP überführen (Anmerkung Mark Lütz: ggfs. sollten wir die RL Videoüberwachung mit den nationalen Ausprägungen noch in den gleichen Data Privacy Prozessbereich überführen inkl. der Standards (liegen in allen Sprachen vor auch MX/IN)._x000a_Hinweis: Etablierung einer Vorgabe nach DSGVO/EU GPDR für die MA Daten fehlt aktuell noch. (Ist nicht im HR Prozess verdrahtet)"/>
    <x v="21"/>
    <x v="0"/>
    <x v="2"/>
    <x v="0"/>
    <m/>
    <m/>
    <m/>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olHeaderCaption="Prio">
  <location ref="K5:Q17" firstHeaderRow="1" firstDataRow="2" firstDataCol="1" rowPageCount="2" colPageCount="1"/>
  <pivotFields count="2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axis="axisPage" showAll="0">
      <items count="23">
        <item x="9"/>
        <item x="10"/>
        <item x="1"/>
        <item x="21"/>
        <item x="13"/>
        <item x="8"/>
        <item x="7"/>
        <item x="4"/>
        <item x="14"/>
        <item x="15"/>
        <item x="16"/>
        <item x="17"/>
        <item x="11"/>
        <item x="12"/>
        <item x="3"/>
        <item x="6"/>
        <item x="0"/>
        <item x="5"/>
        <item x="20"/>
        <item x="18"/>
        <item x="19"/>
        <item x="2"/>
        <item t="default"/>
      </items>
    </pivotField>
    <pivotField axis="axisPage" showAll="0">
      <items count="6">
        <item x="0"/>
        <item x="3"/>
        <item x="2"/>
        <item x="1"/>
        <item x="4"/>
        <item t="default"/>
      </items>
    </pivotField>
    <pivotField axis="axisCol" showAll="0">
      <items count="6">
        <item x="0"/>
        <item x="2"/>
        <item x="3"/>
        <item x="4"/>
        <item x="1"/>
        <item t="default"/>
      </items>
    </pivotField>
    <pivotField axis="axisRow" showAll="0">
      <items count="4">
        <item x="0"/>
        <item x="1"/>
        <item x="2"/>
        <item t="default"/>
      </items>
    </pivotField>
    <pivotField showAll="0"/>
    <pivotField showAll="0"/>
    <pivotField showAll="0"/>
    <pivotField dataField="1" showAll="0"/>
  </pivotFields>
  <rowFields count="2">
    <field x="15"/>
    <field x="6"/>
  </rowFields>
  <rowItems count="11">
    <i>
      <x/>
    </i>
    <i r="1">
      <x/>
    </i>
    <i r="1">
      <x v="1"/>
    </i>
    <i r="1">
      <x v="2"/>
    </i>
    <i r="1">
      <x v="3"/>
    </i>
    <i>
      <x v="1"/>
    </i>
    <i r="1">
      <x/>
    </i>
    <i r="1">
      <x v="2"/>
    </i>
    <i>
      <x v="2"/>
    </i>
    <i r="1">
      <x v="1"/>
    </i>
    <i t="grand">
      <x/>
    </i>
  </rowItems>
  <colFields count="1">
    <field x="14"/>
  </colFields>
  <colItems count="6">
    <i>
      <x/>
    </i>
    <i>
      <x v="1"/>
    </i>
    <i>
      <x v="2"/>
    </i>
    <i>
      <x v="3"/>
    </i>
    <i>
      <x v="4"/>
    </i>
    <i t="grand">
      <x/>
    </i>
  </colItems>
  <pageFields count="2">
    <pageField fld="13" hier="-1"/>
    <pageField fld="12" hier="-1"/>
  </pageFields>
  <dataFields count="1">
    <dataField name="Count" fld="19" baseField="6"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K2:Q17"/>
  <sheetViews>
    <sheetView topLeftCell="C1" zoomScale="130" zoomScaleNormal="130" workbookViewId="0">
      <selection activeCell="L8" sqref="L8"/>
    </sheetView>
  </sheetViews>
  <sheetFormatPr baseColWidth="10" defaultColWidth="9.1640625" defaultRowHeight="15" x14ac:dyDescent="0.2"/>
  <cols>
    <col min="11" max="11" width="22.5" bestFit="1" customWidth="1"/>
    <col min="12" max="12" width="8.33203125" bestFit="1" customWidth="1"/>
    <col min="13" max="13" width="6.5" bestFit="1" customWidth="1"/>
    <col min="14" max="15" width="7.5" bestFit="1" customWidth="1"/>
    <col min="16" max="16" width="6.33203125" bestFit="1" customWidth="1"/>
    <col min="17" max="17" width="15.5" bestFit="1" customWidth="1"/>
  </cols>
  <sheetData>
    <row r="2" spans="11:17" x14ac:dyDescent="0.2">
      <c r="K2" s="47" t="s">
        <v>14</v>
      </c>
      <c r="L2" t="s">
        <v>551</v>
      </c>
    </row>
    <row r="3" spans="11:17" x14ac:dyDescent="0.2">
      <c r="K3" s="47" t="s">
        <v>13</v>
      </c>
      <c r="L3" t="s">
        <v>551</v>
      </c>
    </row>
    <row r="5" spans="11:17" x14ac:dyDescent="0.2">
      <c r="K5" s="47" t="s">
        <v>552</v>
      </c>
      <c r="L5" s="47" t="s">
        <v>553</v>
      </c>
    </row>
    <row r="6" spans="11:17" x14ac:dyDescent="0.2">
      <c r="K6" s="47" t="s">
        <v>554</v>
      </c>
      <c r="L6" t="s">
        <v>30</v>
      </c>
      <c r="M6" t="s">
        <v>93</v>
      </c>
      <c r="N6" t="s">
        <v>380</v>
      </c>
      <c r="O6" t="s">
        <v>390</v>
      </c>
      <c r="P6" t="s">
        <v>555</v>
      </c>
      <c r="Q6" t="s">
        <v>556</v>
      </c>
    </row>
    <row r="7" spans="11:17" x14ac:dyDescent="0.2">
      <c r="K7" s="48" t="s">
        <v>31</v>
      </c>
      <c r="L7">
        <v>35</v>
      </c>
      <c r="M7">
        <v>17</v>
      </c>
      <c r="N7">
        <v>2</v>
      </c>
      <c r="O7">
        <v>1</v>
      </c>
      <c r="P7">
        <v>2</v>
      </c>
      <c r="Q7">
        <v>57</v>
      </c>
    </row>
    <row r="8" spans="11:17" x14ac:dyDescent="0.2">
      <c r="K8" s="49" t="s">
        <v>53</v>
      </c>
      <c r="L8">
        <v>9</v>
      </c>
      <c r="M8">
        <v>1</v>
      </c>
      <c r="N8">
        <v>2</v>
      </c>
      <c r="Q8">
        <v>12</v>
      </c>
    </row>
    <row r="9" spans="11:17" x14ac:dyDescent="0.2">
      <c r="K9" s="49" t="s">
        <v>63</v>
      </c>
      <c r="L9">
        <v>15</v>
      </c>
      <c r="M9">
        <v>14</v>
      </c>
      <c r="P9">
        <v>1</v>
      </c>
      <c r="Q9">
        <v>30</v>
      </c>
    </row>
    <row r="10" spans="11:17" x14ac:dyDescent="0.2">
      <c r="K10" s="49" t="s">
        <v>25</v>
      </c>
      <c r="L10">
        <v>10</v>
      </c>
      <c r="M10">
        <v>2</v>
      </c>
      <c r="O10">
        <v>1</v>
      </c>
      <c r="P10">
        <v>1</v>
      </c>
      <c r="Q10">
        <v>14</v>
      </c>
    </row>
    <row r="11" spans="11:17" x14ac:dyDescent="0.2">
      <c r="K11" s="49" t="s">
        <v>555</v>
      </c>
      <c r="L11">
        <v>1</v>
      </c>
      <c r="Q11">
        <v>1</v>
      </c>
    </row>
    <row r="12" spans="11:17" x14ac:dyDescent="0.2">
      <c r="K12" s="48" t="s">
        <v>555</v>
      </c>
      <c r="L12">
        <v>1</v>
      </c>
      <c r="P12">
        <v>1</v>
      </c>
      <c r="Q12">
        <v>2</v>
      </c>
    </row>
    <row r="13" spans="11:17" x14ac:dyDescent="0.2">
      <c r="K13" s="49" t="s">
        <v>53</v>
      </c>
      <c r="L13">
        <v>1</v>
      </c>
      <c r="Q13">
        <v>1</v>
      </c>
    </row>
    <row r="14" spans="11:17" x14ac:dyDescent="0.2">
      <c r="K14" s="49" t="s">
        <v>25</v>
      </c>
      <c r="P14">
        <v>1</v>
      </c>
      <c r="Q14">
        <v>1</v>
      </c>
    </row>
    <row r="15" spans="11:17" x14ac:dyDescent="0.2">
      <c r="K15" s="48" t="s">
        <v>67</v>
      </c>
      <c r="L15">
        <v>2</v>
      </c>
      <c r="Q15">
        <v>2</v>
      </c>
    </row>
    <row r="16" spans="11:17" x14ac:dyDescent="0.2">
      <c r="K16" s="49" t="s">
        <v>63</v>
      </c>
      <c r="L16">
        <v>2</v>
      </c>
      <c r="Q16">
        <v>2</v>
      </c>
    </row>
    <row r="17" spans="11:17" x14ac:dyDescent="0.2">
      <c r="K17" s="48" t="s">
        <v>556</v>
      </c>
      <c r="L17">
        <v>38</v>
      </c>
      <c r="M17">
        <v>17</v>
      </c>
      <c r="N17">
        <v>2</v>
      </c>
      <c r="O17">
        <v>1</v>
      </c>
      <c r="P17">
        <v>3</v>
      </c>
      <c r="Q17">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W64"/>
  <sheetViews>
    <sheetView tabSelected="1" zoomScale="287" zoomScaleNormal="100" workbookViewId="0">
      <pane xSplit="4" ySplit="1" topLeftCell="G60" activePane="bottomRight" state="frozen"/>
      <selection pane="topRight" activeCell="E1" sqref="E1"/>
      <selection pane="bottomLeft" activeCell="A2" sqref="A2"/>
      <selection pane="bottomRight" activeCell="D60" sqref="D60"/>
    </sheetView>
  </sheetViews>
  <sheetFormatPr baseColWidth="10" defaultColWidth="8.6640625" defaultRowHeight="15" x14ac:dyDescent="0.2"/>
  <cols>
    <col min="1" max="1" width="12" customWidth="1"/>
    <col min="2" max="2" width="22" customWidth="1"/>
    <col min="3" max="3" width="28" customWidth="1"/>
    <col min="4" max="4" width="13" customWidth="1"/>
    <col min="5" max="5" width="55" customWidth="1"/>
    <col min="6" max="6" width="55" style="13" customWidth="1"/>
    <col min="7" max="7" width="16" style="27" customWidth="1"/>
    <col min="8" max="8" width="70.33203125" customWidth="1"/>
    <col min="9" max="9" width="18" customWidth="1"/>
    <col min="10" max="10" width="15" customWidth="1"/>
    <col min="11" max="11" width="8" customWidth="1"/>
    <col min="12" max="12" width="88.83203125" customWidth="1"/>
    <col min="13" max="13" width="84.83203125" customWidth="1"/>
    <col min="14" max="14" width="60" customWidth="1"/>
    <col min="15" max="16" width="70" customWidth="1"/>
    <col min="17" max="17" width="16" customWidth="1"/>
    <col min="18" max="18" width="14" customWidth="1"/>
    <col min="19" max="19" width="30" customWidth="1"/>
    <col min="20" max="20" width="67.1640625" customWidth="1"/>
  </cols>
  <sheetData>
    <row r="1" spans="1:23" ht="39.75" customHeight="1" x14ac:dyDescent="0.2">
      <c r="A1" s="1" t="s">
        <v>0</v>
      </c>
      <c r="B1" s="1" t="s">
        <v>1</v>
      </c>
      <c r="C1" s="1" t="s">
        <v>2</v>
      </c>
      <c r="D1" s="1" t="s">
        <v>3</v>
      </c>
      <c r="E1" s="1" t="s">
        <v>4</v>
      </c>
      <c r="F1" s="14" t="s">
        <v>5</v>
      </c>
      <c r="G1" s="1" t="s">
        <v>6</v>
      </c>
      <c r="H1" s="1" t="s">
        <v>7</v>
      </c>
      <c r="I1" s="1" t="s">
        <v>8</v>
      </c>
      <c r="J1" s="23" t="s">
        <v>9</v>
      </c>
      <c r="K1" s="1" t="s">
        <v>10</v>
      </c>
      <c r="L1" s="1" t="s">
        <v>11</v>
      </c>
      <c r="M1" s="1" t="s">
        <v>12</v>
      </c>
      <c r="N1" s="1" t="s">
        <v>632</v>
      </c>
      <c r="O1" s="1" t="s">
        <v>633</v>
      </c>
      <c r="P1" s="1" t="s">
        <v>13</v>
      </c>
      <c r="Q1" s="1" t="s">
        <v>14</v>
      </c>
      <c r="R1" s="1" t="s">
        <v>15</v>
      </c>
      <c r="S1" s="1" t="s">
        <v>16</v>
      </c>
      <c r="T1" s="1" t="s">
        <v>17</v>
      </c>
      <c r="U1" s="1" t="s">
        <v>18</v>
      </c>
      <c r="V1" s="1" t="s">
        <v>19</v>
      </c>
      <c r="W1" s="45" t="s">
        <v>20</v>
      </c>
    </row>
    <row r="2" spans="1:23" ht="195" x14ac:dyDescent="0.2">
      <c r="A2" s="15" t="s">
        <v>21</v>
      </c>
      <c r="B2" s="50" t="s">
        <v>22</v>
      </c>
      <c r="C2" s="16" t="s">
        <v>23</v>
      </c>
      <c r="D2" s="17"/>
      <c r="E2" s="16" t="s">
        <v>24</v>
      </c>
      <c r="F2" s="16" t="s">
        <v>24</v>
      </c>
      <c r="G2" s="51" t="s">
        <v>25</v>
      </c>
      <c r="H2" s="50" t="s">
        <v>26</v>
      </c>
      <c r="I2" s="15"/>
      <c r="J2" s="15"/>
      <c r="K2" s="15" t="str">
        <f>IF(AND(ISNUMBER(I2),ISNUMBER(J2)),J2-I2,"")</f>
        <v/>
      </c>
      <c r="L2" s="16" t="s">
        <v>635</v>
      </c>
      <c r="M2" s="64" t="s">
        <v>636</v>
      </c>
      <c r="N2" s="70" t="s">
        <v>27</v>
      </c>
      <c r="O2" s="70"/>
      <c r="P2" s="16" t="s">
        <v>637</v>
      </c>
      <c r="Q2" s="15" t="s">
        <v>29</v>
      </c>
      <c r="R2" s="16" t="s">
        <v>93</v>
      </c>
      <c r="S2" s="15" t="s">
        <v>31</v>
      </c>
      <c r="T2" s="28">
        <v>46142</v>
      </c>
      <c r="U2" s="16"/>
      <c r="V2" s="16"/>
      <c r="W2" s="46">
        <v>1</v>
      </c>
    </row>
    <row r="3" spans="1:23" ht="240" x14ac:dyDescent="0.2">
      <c r="A3" s="15" t="s">
        <v>21</v>
      </c>
      <c r="B3" s="50" t="s">
        <v>22</v>
      </c>
      <c r="C3" s="16" t="s">
        <v>32</v>
      </c>
      <c r="D3" s="17"/>
      <c r="E3" s="16" t="s">
        <v>33</v>
      </c>
      <c r="F3" s="16" t="s">
        <v>34</v>
      </c>
      <c r="G3" s="51" t="s">
        <v>25</v>
      </c>
      <c r="H3" s="50" t="s">
        <v>35</v>
      </c>
      <c r="I3" s="15"/>
      <c r="J3" s="15"/>
      <c r="K3" s="15" t="str">
        <f>IF(AND(ISNUMBER(I3),ISNUMBER(J3)),J3-I3,"")</f>
        <v/>
      </c>
      <c r="L3" s="16" t="s">
        <v>36</v>
      </c>
      <c r="M3" s="64" t="s">
        <v>37</v>
      </c>
      <c r="N3" s="70" t="s">
        <v>38</v>
      </c>
      <c r="O3" s="70" t="s">
        <v>39</v>
      </c>
      <c r="P3" s="16" t="s">
        <v>28</v>
      </c>
      <c r="Q3" s="15" t="s">
        <v>29</v>
      </c>
      <c r="R3" s="16" t="s">
        <v>30</v>
      </c>
      <c r="S3" s="15" t="s">
        <v>31</v>
      </c>
      <c r="T3" s="28">
        <v>46142</v>
      </c>
      <c r="U3" s="16"/>
      <c r="V3" s="16"/>
      <c r="W3" s="46">
        <v>1</v>
      </c>
    </row>
    <row r="4" spans="1:23" ht="210" x14ac:dyDescent="0.2">
      <c r="A4" s="15" t="s">
        <v>21</v>
      </c>
      <c r="B4" s="50" t="s">
        <v>22</v>
      </c>
      <c r="C4" s="16" t="s">
        <v>23</v>
      </c>
      <c r="D4" s="17"/>
      <c r="E4" s="16" t="s">
        <v>40</v>
      </c>
      <c r="F4" s="16" t="s">
        <v>41</v>
      </c>
      <c r="G4" s="51" t="s">
        <v>25</v>
      </c>
      <c r="H4" s="50" t="s">
        <v>42</v>
      </c>
      <c r="I4" s="15"/>
      <c r="J4" s="15"/>
      <c r="K4" s="15"/>
      <c r="L4" s="16" t="s">
        <v>43</v>
      </c>
      <c r="M4" s="64" t="s">
        <v>44</v>
      </c>
      <c r="N4" s="71" t="s">
        <v>638</v>
      </c>
      <c r="O4" s="70" t="s">
        <v>45</v>
      </c>
      <c r="P4" s="16" t="s">
        <v>29</v>
      </c>
      <c r="Q4" s="15" t="s">
        <v>29</v>
      </c>
      <c r="R4" s="16" t="s">
        <v>30</v>
      </c>
      <c r="S4" s="15"/>
      <c r="T4" s="28"/>
      <c r="U4" s="16"/>
      <c r="V4" s="16"/>
      <c r="W4" s="46"/>
    </row>
    <row r="5" spans="1:23" ht="248" customHeight="1" x14ac:dyDescent="0.2">
      <c r="A5" s="15" t="s">
        <v>21</v>
      </c>
      <c r="B5" s="50" t="s">
        <v>46</v>
      </c>
      <c r="C5" s="16" t="s">
        <v>47</v>
      </c>
      <c r="D5" s="17"/>
      <c r="E5" s="16" t="s">
        <v>33</v>
      </c>
      <c r="F5" s="16" t="s">
        <v>34</v>
      </c>
      <c r="G5" s="51" t="s">
        <v>25</v>
      </c>
      <c r="H5" s="50" t="s">
        <v>47</v>
      </c>
      <c r="I5" s="15"/>
      <c r="J5" s="15">
        <v>3</v>
      </c>
      <c r="K5" s="15"/>
      <c r="L5" s="16" t="s">
        <v>48</v>
      </c>
      <c r="M5" s="64" t="s">
        <v>49</v>
      </c>
      <c r="N5" s="71" t="s">
        <v>639</v>
      </c>
      <c r="O5" s="70" t="s">
        <v>50</v>
      </c>
      <c r="P5" s="16"/>
      <c r="Q5" s="15"/>
      <c r="R5" s="16"/>
      <c r="S5" s="15"/>
      <c r="T5" s="28"/>
      <c r="U5" s="16"/>
      <c r="V5" s="16"/>
      <c r="W5" s="46">
        <v>1</v>
      </c>
    </row>
    <row r="6" spans="1:23" ht="270" x14ac:dyDescent="0.2">
      <c r="A6" s="15" t="s">
        <v>21</v>
      </c>
      <c r="B6" s="31" t="s">
        <v>51</v>
      </c>
      <c r="C6" s="16" t="s">
        <v>52</v>
      </c>
      <c r="D6" s="17"/>
      <c r="E6" s="16" t="s">
        <v>33</v>
      </c>
      <c r="F6" s="16" t="s">
        <v>34</v>
      </c>
      <c r="G6" s="32" t="s">
        <v>53</v>
      </c>
      <c r="H6" s="31" t="s">
        <v>54</v>
      </c>
      <c r="I6" s="15"/>
      <c r="J6" s="15">
        <v>3</v>
      </c>
      <c r="K6" s="15"/>
      <c r="L6" s="16" t="s">
        <v>55</v>
      </c>
      <c r="M6" s="64" t="s">
        <v>56</v>
      </c>
      <c r="N6" s="70" t="s">
        <v>57</v>
      </c>
      <c r="O6" s="70" t="s">
        <v>58</v>
      </c>
      <c r="P6" s="16"/>
      <c r="Q6" s="15" t="s">
        <v>29</v>
      </c>
      <c r="R6" s="16" t="s">
        <v>30</v>
      </c>
      <c r="S6" s="15"/>
      <c r="T6" s="28"/>
      <c r="U6" s="16"/>
      <c r="V6" s="16"/>
      <c r="W6" s="46">
        <v>1</v>
      </c>
    </row>
    <row r="7" spans="1:23" ht="240" x14ac:dyDescent="0.2">
      <c r="A7" s="15" t="s">
        <v>59</v>
      </c>
      <c r="B7" s="29" t="s">
        <v>60</v>
      </c>
      <c r="C7" s="16" t="s">
        <v>61</v>
      </c>
      <c r="D7" s="17" t="s">
        <v>62</v>
      </c>
      <c r="E7" s="16" t="s">
        <v>33</v>
      </c>
      <c r="F7" s="16" t="s">
        <v>34</v>
      </c>
      <c r="G7" s="30" t="s">
        <v>63</v>
      </c>
      <c r="H7" s="29" t="s">
        <v>64</v>
      </c>
      <c r="I7" s="15">
        <v>2</v>
      </c>
      <c r="J7" s="15">
        <v>3</v>
      </c>
      <c r="K7" s="15">
        <f t="shared" ref="K7:K26" si="0">IF(AND(ISNUMBER(I7),ISNUMBER(J7)),J7-I7,"")</f>
        <v>1</v>
      </c>
      <c r="L7" s="16" t="s">
        <v>634</v>
      </c>
      <c r="M7" s="64" t="s">
        <v>65</v>
      </c>
      <c r="N7" s="71" t="s">
        <v>640</v>
      </c>
      <c r="O7" s="71" t="s">
        <v>66</v>
      </c>
      <c r="P7" s="16" t="s">
        <v>28</v>
      </c>
      <c r="Q7" s="15" t="s">
        <v>29</v>
      </c>
      <c r="R7" s="16" t="s">
        <v>30</v>
      </c>
      <c r="S7" s="15" t="s">
        <v>67</v>
      </c>
      <c r="T7" s="28">
        <v>46142</v>
      </c>
      <c r="U7" s="16"/>
      <c r="V7" s="16"/>
      <c r="W7" s="46">
        <v>1</v>
      </c>
    </row>
    <row r="8" spans="1:23" ht="225" x14ac:dyDescent="0.2">
      <c r="A8" s="15" t="s">
        <v>59</v>
      </c>
      <c r="B8" s="29" t="s">
        <v>60</v>
      </c>
      <c r="C8" s="16" t="s">
        <v>61</v>
      </c>
      <c r="D8" s="17" t="s">
        <v>62</v>
      </c>
      <c r="E8" s="16" t="s">
        <v>33</v>
      </c>
      <c r="F8" s="16" t="s">
        <v>34</v>
      </c>
      <c r="G8" s="30" t="s">
        <v>63</v>
      </c>
      <c r="H8" s="29" t="s">
        <v>68</v>
      </c>
      <c r="I8" s="15">
        <v>2</v>
      </c>
      <c r="J8" s="15">
        <v>3</v>
      </c>
      <c r="K8" s="15">
        <f t="shared" si="0"/>
        <v>1</v>
      </c>
      <c r="L8" s="16" t="s">
        <v>69</v>
      </c>
      <c r="M8" s="64" t="s">
        <v>70</v>
      </c>
      <c r="N8" s="71" t="s">
        <v>641</v>
      </c>
      <c r="O8" s="70" t="s">
        <v>71</v>
      </c>
      <c r="P8" s="16" t="s">
        <v>72</v>
      </c>
      <c r="Q8" s="15" t="s">
        <v>29</v>
      </c>
      <c r="R8" s="16" t="s">
        <v>30</v>
      </c>
      <c r="S8" s="15" t="s">
        <v>67</v>
      </c>
      <c r="T8" s="28">
        <v>46142</v>
      </c>
      <c r="U8" s="16"/>
      <c r="V8" s="16"/>
      <c r="W8" s="46">
        <v>1</v>
      </c>
    </row>
    <row r="9" spans="1:23" ht="225" x14ac:dyDescent="0.2">
      <c r="A9" s="15" t="s">
        <v>59</v>
      </c>
      <c r="B9" s="29" t="s">
        <v>60</v>
      </c>
      <c r="C9" s="16" t="s">
        <v>61</v>
      </c>
      <c r="D9" s="17" t="s">
        <v>62</v>
      </c>
      <c r="E9" s="16" t="s">
        <v>33</v>
      </c>
      <c r="F9" s="16" t="s">
        <v>34</v>
      </c>
      <c r="G9" s="30" t="s">
        <v>63</v>
      </c>
      <c r="H9" s="29" t="s">
        <v>73</v>
      </c>
      <c r="I9" s="15">
        <v>2</v>
      </c>
      <c r="J9" s="15">
        <v>3</v>
      </c>
      <c r="K9" s="15">
        <f t="shared" si="0"/>
        <v>1</v>
      </c>
      <c r="L9" s="16" t="s">
        <v>74</v>
      </c>
      <c r="M9" s="64" t="s">
        <v>75</v>
      </c>
      <c r="N9" s="70" t="s">
        <v>76</v>
      </c>
      <c r="O9" s="70" t="s">
        <v>77</v>
      </c>
      <c r="P9" s="16" t="s">
        <v>72</v>
      </c>
      <c r="Q9" s="15" t="s">
        <v>29</v>
      </c>
      <c r="R9" s="16" t="s">
        <v>30</v>
      </c>
      <c r="S9" s="15" t="s">
        <v>31</v>
      </c>
      <c r="T9" s="28">
        <v>46142</v>
      </c>
      <c r="U9" s="16"/>
      <c r="V9" s="16"/>
      <c r="W9" s="46">
        <v>1</v>
      </c>
    </row>
    <row r="10" spans="1:23" ht="285" x14ac:dyDescent="0.2">
      <c r="A10" s="18" t="s">
        <v>78</v>
      </c>
      <c r="B10" s="34" t="s">
        <v>60</v>
      </c>
      <c r="C10" s="19" t="s">
        <v>61</v>
      </c>
      <c r="D10" s="20" t="s">
        <v>79</v>
      </c>
      <c r="E10" s="19" t="s">
        <v>80</v>
      </c>
      <c r="F10" s="19" t="s">
        <v>81</v>
      </c>
      <c r="G10" s="33" t="s">
        <v>53</v>
      </c>
      <c r="H10" s="34" t="s">
        <v>82</v>
      </c>
      <c r="I10" s="18">
        <v>2</v>
      </c>
      <c r="J10" s="21">
        <v>3</v>
      </c>
      <c r="K10" s="18">
        <f t="shared" si="0"/>
        <v>1</v>
      </c>
      <c r="L10" s="19" t="s">
        <v>83</v>
      </c>
      <c r="M10" s="65" t="s">
        <v>84</v>
      </c>
      <c r="N10" s="70" t="s">
        <v>85</v>
      </c>
      <c r="O10" s="70" t="s">
        <v>86</v>
      </c>
      <c r="P10" s="19" t="s">
        <v>87</v>
      </c>
      <c r="Q10" s="18" t="s">
        <v>29</v>
      </c>
      <c r="R10" s="19" t="s">
        <v>30</v>
      </c>
      <c r="S10" s="18" t="s">
        <v>31</v>
      </c>
      <c r="T10" s="24">
        <v>46157</v>
      </c>
      <c r="U10" s="19"/>
      <c r="V10" s="19"/>
      <c r="W10" s="46">
        <v>1</v>
      </c>
    </row>
    <row r="11" spans="1:23" ht="240" x14ac:dyDescent="0.2">
      <c r="A11" s="18" t="s">
        <v>78</v>
      </c>
      <c r="B11" s="35" t="s">
        <v>60</v>
      </c>
      <c r="C11" s="19" t="s">
        <v>61</v>
      </c>
      <c r="D11" s="20" t="s">
        <v>79</v>
      </c>
      <c r="E11" s="19" t="s">
        <v>80</v>
      </c>
      <c r="F11" s="19" t="s">
        <v>81</v>
      </c>
      <c r="G11" s="30" t="s">
        <v>53</v>
      </c>
      <c r="H11" s="29" t="s">
        <v>88</v>
      </c>
      <c r="I11" s="18">
        <v>2</v>
      </c>
      <c r="J11" s="21">
        <v>3</v>
      </c>
      <c r="K11" s="18">
        <f t="shared" si="0"/>
        <v>1</v>
      </c>
      <c r="L11" s="19" t="s">
        <v>89</v>
      </c>
      <c r="M11" s="65" t="s">
        <v>90</v>
      </c>
      <c r="N11" s="70" t="s">
        <v>91</v>
      </c>
      <c r="O11" s="70" t="s">
        <v>92</v>
      </c>
      <c r="P11" s="19" t="s">
        <v>72</v>
      </c>
      <c r="Q11" s="18" t="s">
        <v>29</v>
      </c>
      <c r="R11" s="19" t="s">
        <v>93</v>
      </c>
      <c r="S11" s="18" t="s">
        <v>31</v>
      </c>
      <c r="T11" s="24">
        <v>46157</v>
      </c>
      <c r="U11" s="19"/>
      <c r="V11" s="19"/>
      <c r="W11" s="46">
        <v>1</v>
      </c>
    </row>
    <row r="12" spans="1:23" ht="240" x14ac:dyDescent="0.2">
      <c r="A12" s="18" t="s">
        <v>78</v>
      </c>
      <c r="B12" s="35" t="s">
        <v>60</v>
      </c>
      <c r="C12" s="19" t="s">
        <v>61</v>
      </c>
      <c r="D12" s="20" t="s">
        <v>79</v>
      </c>
      <c r="E12" s="19" t="s">
        <v>80</v>
      </c>
      <c r="F12" s="19" t="s">
        <v>81</v>
      </c>
      <c r="G12" s="30" t="s">
        <v>63</v>
      </c>
      <c r="H12" s="29" t="s">
        <v>94</v>
      </c>
      <c r="I12" s="18">
        <v>2</v>
      </c>
      <c r="J12" s="21">
        <v>3</v>
      </c>
      <c r="K12" s="18">
        <f t="shared" si="0"/>
        <v>1</v>
      </c>
      <c r="L12" s="19" t="s">
        <v>95</v>
      </c>
      <c r="M12" s="65" t="s">
        <v>96</v>
      </c>
      <c r="N12" s="70" t="s">
        <v>97</v>
      </c>
      <c r="O12" s="70" t="s">
        <v>98</v>
      </c>
      <c r="P12" s="19" t="s">
        <v>72</v>
      </c>
      <c r="Q12" s="18" t="s">
        <v>29</v>
      </c>
      <c r="R12" s="19" t="s">
        <v>93</v>
      </c>
      <c r="S12" s="18" t="s">
        <v>31</v>
      </c>
      <c r="T12" s="24">
        <v>46157</v>
      </c>
      <c r="U12" s="19"/>
      <c r="V12" s="19"/>
      <c r="W12" s="46">
        <v>1</v>
      </c>
    </row>
    <row r="13" spans="1:23" ht="255" x14ac:dyDescent="0.2">
      <c r="A13" s="15" t="s">
        <v>99</v>
      </c>
      <c r="B13" s="36" t="s">
        <v>60</v>
      </c>
      <c r="C13" s="16" t="s">
        <v>61</v>
      </c>
      <c r="D13" s="17" t="s">
        <v>100</v>
      </c>
      <c r="E13" s="16" t="s">
        <v>101</v>
      </c>
      <c r="F13" s="16" t="s">
        <v>102</v>
      </c>
      <c r="G13" s="37" t="s">
        <v>63</v>
      </c>
      <c r="H13" s="36" t="s">
        <v>103</v>
      </c>
      <c r="I13" s="15">
        <v>2</v>
      </c>
      <c r="J13" s="15">
        <v>3</v>
      </c>
      <c r="K13" s="15">
        <f t="shared" si="0"/>
        <v>1</v>
      </c>
      <c r="L13" s="16" t="s">
        <v>104</v>
      </c>
      <c r="M13" s="64" t="s">
        <v>105</v>
      </c>
      <c r="N13" s="70" t="s">
        <v>106</v>
      </c>
      <c r="O13" s="70" t="s">
        <v>107</v>
      </c>
      <c r="P13" s="16" t="s">
        <v>108</v>
      </c>
      <c r="Q13" s="15" t="s">
        <v>109</v>
      </c>
      <c r="R13" s="16" t="s">
        <v>30</v>
      </c>
      <c r="S13" s="15" t="s">
        <v>31</v>
      </c>
      <c r="T13" s="28">
        <v>46172</v>
      </c>
      <c r="U13" s="16"/>
      <c r="V13" s="16"/>
      <c r="W13" s="46">
        <v>1</v>
      </c>
    </row>
    <row r="14" spans="1:23" ht="225" x14ac:dyDescent="0.2">
      <c r="A14" s="15" t="s">
        <v>99</v>
      </c>
      <c r="B14" s="36" t="s">
        <v>60</v>
      </c>
      <c r="C14" s="16" t="s">
        <v>61</v>
      </c>
      <c r="D14" s="17" t="s">
        <v>100</v>
      </c>
      <c r="E14" s="16" t="s">
        <v>101</v>
      </c>
      <c r="F14" s="16" t="s">
        <v>102</v>
      </c>
      <c r="G14" s="37" t="s">
        <v>63</v>
      </c>
      <c r="H14" s="36" t="s">
        <v>110</v>
      </c>
      <c r="I14" s="15">
        <v>2</v>
      </c>
      <c r="J14" s="15">
        <v>3</v>
      </c>
      <c r="K14" s="15">
        <f t="shared" si="0"/>
        <v>1</v>
      </c>
      <c r="L14" s="16" t="s">
        <v>111</v>
      </c>
      <c r="M14" s="64" t="s">
        <v>112</v>
      </c>
      <c r="N14" s="70" t="s">
        <v>113</v>
      </c>
      <c r="O14" s="70" t="s">
        <v>114</v>
      </c>
      <c r="P14" s="16" t="s">
        <v>115</v>
      </c>
      <c r="Q14" s="15" t="s">
        <v>109</v>
      </c>
      <c r="R14" s="16" t="s">
        <v>30</v>
      </c>
      <c r="S14" s="15" t="s">
        <v>31</v>
      </c>
      <c r="T14" s="28">
        <v>46172</v>
      </c>
      <c r="U14" s="16"/>
      <c r="V14" s="16"/>
      <c r="W14" s="46">
        <v>1</v>
      </c>
    </row>
    <row r="15" spans="1:23" ht="225" x14ac:dyDescent="0.2">
      <c r="A15" s="15" t="s">
        <v>99</v>
      </c>
      <c r="B15" s="36" t="s">
        <v>60</v>
      </c>
      <c r="C15" s="16" t="s">
        <v>61</v>
      </c>
      <c r="D15" s="17" t="s">
        <v>100</v>
      </c>
      <c r="E15" s="16" t="s">
        <v>101</v>
      </c>
      <c r="F15" s="16" t="s">
        <v>102</v>
      </c>
      <c r="G15" s="37" t="s">
        <v>53</v>
      </c>
      <c r="H15" s="36" t="s">
        <v>116</v>
      </c>
      <c r="I15" s="15">
        <v>2</v>
      </c>
      <c r="J15" s="15">
        <v>3</v>
      </c>
      <c r="K15" s="15">
        <f t="shared" si="0"/>
        <v>1</v>
      </c>
      <c r="L15" s="16" t="s">
        <v>117</v>
      </c>
      <c r="M15" s="64" t="s">
        <v>118</v>
      </c>
      <c r="N15" s="70" t="s">
        <v>119</v>
      </c>
      <c r="O15" s="70" t="s">
        <v>120</v>
      </c>
      <c r="P15" s="16" t="s">
        <v>115</v>
      </c>
      <c r="Q15" s="15" t="s">
        <v>109</v>
      </c>
      <c r="R15" s="16" t="s">
        <v>30</v>
      </c>
      <c r="S15" s="15" t="s">
        <v>31</v>
      </c>
      <c r="T15" s="28">
        <v>46172</v>
      </c>
      <c r="U15" s="16"/>
      <c r="V15" s="16"/>
      <c r="W15" s="46">
        <v>1</v>
      </c>
    </row>
    <row r="16" spans="1:23" ht="240" x14ac:dyDescent="0.2">
      <c r="A16" s="15" t="s">
        <v>99</v>
      </c>
      <c r="B16" s="39" t="s">
        <v>60</v>
      </c>
      <c r="C16" s="16" t="s">
        <v>61</v>
      </c>
      <c r="D16" s="17" t="s">
        <v>100</v>
      </c>
      <c r="E16" s="16" t="s">
        <v>101</v>
      </c>
      <c r="F16" s="16" t="s">
        <v>102</v>
      </c>
      <c r="G16" s="38" t="s">
        <v>25</v>
      </c>
      <c r="H16" s="39" t="s">
        <v>121</v>
      </c>
      <c r="I16" s="15">
        <v>2</v>
      </c>
      <c r="J16" s="15">
        <v>3</v>
      </c>
      <c r="K16" s="15">
        <f t="shared" si="0"/>
        <v>1</v>
      </c>
      <c r="L16" s="16" t="s">
        <v>122</v>
      </c>
      <c r="M16" s="64" t="s">
        <v>123</v>
      </c>
      <c r="N16" s="70" t="s">
        <v>124</v>
      </c>
      <c r="O16" s="70" t="s">
        <v>125</v>
      </c>
      <c r="P16" s="16" t="s">
        <v>115</v>
      </c>
      <c r="Q16" s="15" t="s">
        <v>109</v>
      </c>
      <c r="R16" s="16" t="s">
        <v>30</v>
      </c>
      <c r="S16" s="15" t="s">
        <v>31</v>
      </c>
      <c r="T16" s="28">
        <v>46157</v>
      </c>
      <c r="U16" s="16"/>
      <c r="V16" s="16"/>
      <c r="W16" s="46">
        <v>1</v>
      </c>
    </row>
    <row r="17" spans="1:23" ht="270" x14ac:dyDescent="0.2">
      <c r="A17" s="15" t="s">
        <v>99</v>
      </c>
      <c r="B17" s="41" t="s">
        <v>60</v>
      </c>
      <c r="C17" s="16" t="s">
        <v>61</v>
      </c>
      <c r="D17" s="17" t="s">
        <v>100</v>
      </c>
      <c r="E17" s="16" t="s">
        <v>101</v>
      </c>
      <c r="F17" s="16" t="s">
        <v>102</v>
      </c>
      <c r="G17" s="40" t="s">
        <v>53</v>
      </c>
      <c r="H17" s="41" t="s">
        <v>126</v>
      </c>
      <c r="I17" s="15">
        <v>2</v>
      </c>
      <c r="J17" s="15">
        <v>3</v>
      </c>
      <c r="K17" s="15">
        <f t="shared" si="0"/>
        <v>1</v>
      </c>
      <c r="L17" s="16" t="s">
        <v>127</v>
      </c>
      <c r="M17" s="64" t="s">
        <v>128</v>
      </c>
      <c r="N17" s="70" t="s">
        <v>129</v>
      </c>
      <c r="O17" s="70" t="s">
        <v>130</v>
      </c>
      <c r="P17" s="16" t="s">
        <v>131</v>
      </c>
      <c r="Q17" s="15" t="s">
        <v>29</v>
      </c>
      <c r="R17" s="16" t="s">
        <v>30</v>
      </c>
      <c r="S17" s="15" t="s">
        <v>31</v>
      </c>
      <c r="T17" s="28">
        <v>46172</v>
      </c>
      <c r="U17" s="16"/>
      <c r="V17" s="16"/>
      <c r="W17" s="46">
        <v>1</v>
      </c>
    </row>
    <row r="18" spans="1:23" ht="225" x14ac:dyDescent="0.2">
      <c r="A18" s="18" t="s">
        <v>132</v>
      </c>
      <c r="B18" s="19" t="s">
        <v>60</v>
      </c>
      <c r="C18" s="19" t="s">
        <v>61</v>
      </c>
      <c r="D18" s="20" t="s">
        <v>133</v>
      </c>
      <c r="E18" s="19" t="s">
        <v>134</v>
      </c>
      <c r="F18" s="19" t="s">
        <v>135</v>
      </c>
      <c r="G18" s="26"/>
      <c r="H18" s="19"/>
      <c r="I18" s="18">
        <v>2</v>
      </c>
      <c r="J18" s="21">
        <v>3</v>
      </c>
      <c r="K18" s="18">
        <f t="shared" si="0"/>
        <v>1</v>
      </c>
      <c r="L18" s="19"/>
      <c r="M18" s="65" t="s">
        <v>136</v>
      </c>
      <c r="N18" s="70" t="s">
        <v>137</v>
      </c>
      <c r="O18" s="70" t="s">
        <v>138</v>
      </c>
      <c r="P18" s="19" t="s">
        <v>139</v>
      </c>
      <c r="Q18" s="18" t="s">
        <v>29</v>
      </c>
      <c r="R18" s="19" t="s">
        <v>30</v>
      </c>
      <c r="S18" s="18" t="s">
        <v>31</v>
      </c>
      <c r="T18" s="24">
        <v>46142</v>
      </c>
      <c r="U18" s="19"/>
      <c r="V18" s="19"/>
      <c r="W18" s="46">
        <v>1</v>
      </c>
    </row>
    <row r="19" spans="1:23" ht="210" x14ac:dyDescent="0.2">
      <c r="A19" s="18" t="s">
        <v>21</v>
      </c>
      <c r="B19" s="39" t="s">
        <v>60</v>
      </c>
      <c r="C19" s="16" t="s">
        <v>61</v>
      </c>
      <c r="D19" s="17" t="s">
        <v>140</v>
      </c>
      <c r="E19" s="16" t="s">
        <v>141</v>
      </c>
      <c r="F19" s="16" t="s">
        <v>142</v>
      </c>
      <c r="G19" s="42" t="s">
        <v>25</v>
      </c>
      <c r="H19" s="43" t="s">
        <v>143</v>
      </c>
      <c r="I19" s="18">
        <v>1</v>
      </c>
      <c r="J19" s="21">
        <v>3</v>
      </c>
      <c r="K19" s="18">
        <f t="shared" si="0"/>
        <v>2</v>
      </c>
      <c r="L19" s="19" t="s">
        <v>144</v>
      </c>
      <c r="M19" s="65" t="s">
        <v>145</v>
      </c>
      <c r="N19" s="70" t="s">
        <v>146</v>
      </c>
      <c r="O19" s="70" t="s">
        <v>147</v>
      </c>
      <c r="P19" s="19" t="s">
        <v>148</v>
      </c>
      <c r="Q19" s="18" t="s">
        <v>29</v>
      </c>
      <c r="R19" s="19" t="s">
        <v>30</v>
      </c>
      <c r="S19" s="18" t="s">
        <v>31</v>
      </c>
      <c r="T19" s="24">
        <v>46142</v>
      </c>
      <c r="U19" s="19"/>
      <c r="V19" s="19"/>
      <c r="W19" s="46">
        <v>1</v>
      </c>
    </row>
    <row r="20" spans="1:23" ht="225" x14ac:dyDescent="0.2">
      <c r="A20" s="18" t="s">
        <v>21</v>
      </c>
      <c r="B20" s="41" t="s">
        <v>60</v>
      </c>
      <c r="C20" s="16" t="s">
        <v>61</v>
      </c>
      <c r="D20" s="17" t="s">
        <v>140</v>
      </c>
      <c r="E20" s="16" t="s">
        <v>141</v>
      </c>
      <c r="F20" s="16" t="s">
        <v>142</v>
      </c>
      <c r="G20" s="33" t="s">
        <v>25</v>
      </c>
      <c r="H20" s="34" t="s">
        <v>149</v>
      </c>
      <c r="I20" s="18">
        <v>1</v>
      </c>
      <c r="J20" s="21">
        <v>3</v>
      </c>
      <c r="K20" s="18">
        <f t="shared" si="0"/>
        <v>2</v>
      </c>
      <c r="L20" s="19" t="s">
        <v>150</v>
      </c>
      <c r="M20" s="65" t="s">
        <v>151</v>
      </c>
      <c r="N20" s="70" t="s">
        <v>152</v>
      </c>
      <c r="O20" s="70" t="s">
        <v>153</v>
      </c>
      <c r="P20" s="19" t="s">
        <v>148</v>
      </c>
      <c r="Q20" s="18" t="s">
        <v>29</v>
      </c>
      <c r="R20" s="19" t="s">
        <v>30</v>
      </c>
      <c r="S20" s="18" t="s">
        <v>31</v>
      </c>
      <c r="T20" s="24">
        <v>46142</v>
      </c>
      <c r="U20" s="19"/>
      <c r="V20" s="19"/>
      <c r="W20" s="46">
        <v>1</v>
      </c>
    </row>
    <row r="21" spans="1:23" ht="240" x14ac:dyDescent="0.2">
      <c r="A21" s="15" t="s">
        <v>154</v>
      </c>
      <c r="B21" s="36" t="s">
        <v>60</v>
      </c>
      <c r="C21" s="16" t="s">
        <v>61</v>
      </c>
      <c r="D21" s="17" t="s">
        <v>140</v>
      </c>
      <c r="E21" s="16" t="s">
        <v>141</v>
      </c>
      <c r="F21" s="16" t="s">
        <v>142</v>
      </c>
      <c r="G21" s="37" t="s">
        <v>53</v>
      </c>
      <c r="H21" s="36" t="s">
        <v>155</v>
      </c>
      <c r="I21" s="18">
        <v>1</v>
      </c>
      <c r="J21" s="21">
        <v>3</v>
      </c>
      <c r="K21" s="15">
        <f t="shared" si="0"/>
        <v>2</v>
      </c>
      <c r="L21" s="16" t="s">
        <v>156</v>
      </c>
      <c r="M21" s="64" t="s">
        <v>157</v>
      </c>
      <c r="N21" s="70" t="s">
        <v>158</v>
      </c>
      <c r="O21" s="70" t="s">
        <v>159</v>
      </c>
      <c r="P21" s="19" t="s">
        <v>148</v>
      </c>
      <c r="Q21" s="18" t="s">
        <v>29</v>
      </c>
      <c r="R21" s="19" t="s">
        <v>30</v>
      </c>
      <c r="S21" s="18" t="s">
        <v>31</v>
      </c>
      <c r="T21" s="24">
        <v>46142</v>
      </c>
      <c r="U21" s="16"/>
      <c r="V21" s="16"/>
      <c r="W21" s="46">
        <v>1</v>
      </c>
    </row>
    <row r="22" spans="1:23" ht="240" x14ac:dyDescent="0.2">
      <c r="A22" s="15" t="s">
        <v>154</v>
      </c>
      <c r="B22" s="36" t="s">
        <v>60</v>
      </c>
      <c r="C22" s="16" t="s">
        <v>61</v>
      </c>
      <c r="D22" s="17" t="s">
        <v>140</v>
      </c>
      <c r="E22" s="16" t="s">
        <v>141</v>
      </c>
      <c r="F22" s="16" t="s">
        <v>142</v>
      </c>
      <c r="G22" s="37" t="s">
        <v>63</v>
      </c>
      <c r="H22" s="36" t="s">
        <v>160</v>
      </c>
      <c r="I22" s="18">
        <v>1</v>
      </c>
      <c r="J22" s="21">
        <v>3</v>
      </c>
      <c r="K22" s="15">
        <f t="shared" si="0"/>
        <v>2</v>
      </c>
      <c r="L22" s="16" t="s">
        <v>161</v>
      </c>
      <c r="M22" s="64" t="s">
        <v>162</v>
      </c>
      <c r="N22" s="70" t="s">
        <v>163</v>
      </c>
      <c r="O22" s="70" t="s">
        <v>164</v>
      </c>
      <c r="P22" s="19" t="s">
        <v>148</v>
      </c>
      <c r="Q22" s="18" t="s">
        <v>29</v>
      </c>
      <c r="R22" s="19" t="s">
        <v>30</v>
      </c>
      <c r="S22" s="18" t="s">
        <v>31</v>
      </c>
      <c r="T22" s="24">
        <v>46142</v>
      </c>
      <c r="U22" s="16"/>
      <c r="V22" s="16"/>
      <c r="W22" s="46">
        <v>1</v>
      </c>
    </row>
    <row r="23" spans="1:23" ht="240" x14ac:dyDescent="0.2">
      <c r="A23" s="18" t="s">
        <v>165</v>
      </c>
      <c r="B23" s="35" t="s">
        <v>60</v>
      </c>
      <c r="C23" s="19" t="s">
        <v>61</v>
      </c>
      <c r="D23" s="20" t="s">
        <v>166</v>
      </c>
      <c r="E23" s="19" t="s">
        <v>167</v>
      </c>
      <c r="F23" s="19" t="s">
        <v>168</v>
      </c>
      <c r="G23" s="44" t="s">
        <v>63</v>
      </c>
      <c r="H23" s="35" t="s">
        <v>169</v>
      </c>
      <c r="I23" s="18"/>
      <c r="J23" s="21">
        <v>4</v>
      </c>
      <c r="K23" s="18" t="str">
        <f t="shared" si="0"/>
        <v/>
      </c>
      <c r="L23" s="19" t="s">
        <v>170</v>
      </c>
      <c r="M23" s="65" t="s">
        <v>171</v>
      </c>
      <c r="N23" s="70" t="s">
        <v>172</v>
      </c>
      <c r="O23" s="70" t="s">
        <v>173</v>
      </c>
      <c r="P23" s="19" t="s">
        <v>148</v>
      </c>
      <c r="Q23" s="18" t="s">
        <v>29</v>
      </c>
      <c r="R23" s="19" t="s">
        <v>30</v>
      </c>
      <c r="S23" s="18" t="s">
        <v>31</v>
      </c>
      <c r="T23" s="24">
        <v>46142</v>
      </c>
      <c r="U23" s="19"/>
      <c r="V23" s="19"/>
      <c r="W23" s="46">
        <v>1</v>
      </c>
    </row>
    <row r="24" spans="1:23" ht="270" x14ac:dyDescent="0.2">
      <c r="A24" s="15" t="s">
        <v>174</v>
      </c>
      <c r="B24" s="34" t="s">
        <v>60</v>
      </c>
      <c r="C24" s="16" t="s">
        <v>61</v>
      </c>
      <c r="D24" s="17" t="s">
        <v>175</v>
      </c>
      <c r="E24" s="16" t="s">
        <v>176</v>
      </c>
      <c r="F24" s="16" t="s">
        <v>177</v>
      </c>
      <c r="G24" s="33" t="s">
        <v>53</v>
      </c>
      <c r="H24" s="34" t="s">
        <v>178</v>
      </c>
      <c r="I24" s="15">
        <v>2</v>
      </c>
      <c r="J24" s="15">
        <v>3</v>
      </c>
      <c r="K24" s="15">
        <f t="shared" si="0"/>
        <v>1</v>
      </c>
      <c r="L24" s="16" t="s">
        <v>179</v>
      </c>
      <c r="M24" s="64" t="s">
        <v>180</v>
      </c>
      <c r="N24" s="70" t="s">
        <v>181</v>
      </c>
      <c r="O24" s="70" t="s">
        <v>182</v>
      </c>
      <c r="P24" s="19" t="s">
        <v>148</v>
      </c>
      <c r="Q24" s="18" t="s">
        <v>29</v>
      </c>
      <c r="R24" s="19" t="s">
        <v>30</v>
      </c>
      <c r="S24" s="18" t="s">
        <v>31</v>
      </c>
      <c r="T24" s="24">
        <v>46142</v>
      </c>
      <c r="U24" s="16"/>
      <c r="V24" s="16"/>
      <c r="W24" s="46">
        <v>1</v>
      </c>
    </row>
    <row r="25" spans="1:23" ht="240" x14ac:dyDescent="0.2">
      <c r="A25" s="18" t="s">
        <v>183</v>
      </c>
      <c r="B25" s="39" t="s">
        <v>60</v>
      </c>
      <c r="C25" s="19" t="s">
        <v>61</v>
      </c>
      <c r="D25" s="20" t="s">
        <v>184</v>
      </c>
      <c r="E25" s="19" t="s">
        <v>185</v>
      </c>
      <c r="F25" s="19" t="s">
        <v>186</v>
      </c>
      <c r="G25" s="38" t="s">
        <v>25</v>
      </c>
      <c r="H25" s="39" t="s">
        <v>187</v>
      </c>
      <c r="I25" s="18">
        <v>2</v>
      </c>
      <c r="J25" s="21">
        <v>3</v>
      </c>
      <c r="K25" s="18">
        <f t="shared" si="0"/>
        <v>1</v>
      </c>
      <c r="L25" s="19" t="s">
        <v>188</v>
      </c>
      <c r="M25" s="65" t="s">
        <v>189</v>
      </c>
      <c r="N25" s="70" t="s">
        <v>190</v>
      </c>
      <c r="O25" s="70" t="s">
        <v>191</v>
      </c>
      <c r="P25" s="19" t="s">
        <v>148</v>
      </c>
      <c r="Q25" s="18" t="s">
        <v>29</v>
      </c>
      <c r="R25" s="19" t="s">
        <v>30</v>
      </c>
      <c r="S25" s="18" t="s">
        <v>31</v>
      </c>
      <c r="T25" s="24">
        <v>46142</v>
      </c>
      <c r="U25" s="19"/>
      <c r="V25" s="19"/>
      <c r="W25" s="46">
        <v>1</v>
      </c>
    </row>
    <row r="26" spans="1:23" ht="255" x14ac:dyDescent="0.2">
      <c r="A26" s="15" t="s">
        <v>192</v>
      </c>
      <c r="B26" s="35" t="s">
        <v>60</v>
      </c>
      <c r="C26" s="16" t="s">
        <v>61</v>
      </c>
      <c r="D26" s="17" t="s">
        <v>193</v>
      </c>
      <c r="E26" s="16" t="s">
        <v>194</v>
      </c>
      <c r="F26" s="16" t="s">
        <v>195</v>
      </c>
      <c r="G26" s="44" t="s">
        <v>63</v>
      </c>
      <c r="H26" s="35" t="s">
        <v>196</v>
      </c>
      <c r="I26" s="18">
        <v>2</v>
      </c>
      <c r="J26" s="21">
        <v>3</v>
      </c>
      <c r="K26" s="15">
        <f t="shared" si="0"/>
        <v>1</v>
      </c>
      <c r="L26" s="16" t="s">
        <v>197</v>
      </c>
      <c r="M26" s="64" t="s">
        <v>198</v>
      </c>
      <c r="N26" s="70" t="s">
        <v>199</v>
      </c>
      <c r="O26" s="70" t="s">
        <v>200</v>
      </c>
      <c r="P26" s="19" t="s">
        <v>148</v>
      </c>
      <c r="Q26" s="18" t="s">
        <v>201</v>
      </c>
      <c r="R26" s="19" t="s">
        <v>30</v>
      </c>
      <c r="S26" s="18" t="s">
        <v>31</v>
      </c>
      <c r="T26" s="24">
        <v>46142</v>
      </c>
      <c r="U26" s="16"/>
      <c r="V26" s="16"/>
      <c r="W26" s="46">
        <v>1</v>
      </c>
    </row>
    <row r="27" spans="1:23" ht="225" x14ac:dyDescent="0.2">
      <c r="A27" s="15" t="s">
        <v>21</v>
      </c>
      <c r="B27" s="43" t="s">
        <v>60</v>
      </c>
      <c r="C27" s="16" t="s">
        <v>61</v>
      </c>
      <c r="D27" s="17" t="s">
        <v>193</v>
      </c>
      <c r="E27" s="16" t="s">
        <v>194</v>
      </c>
      <c r="F27" s="16" t="s">
        <v>195</v>
      </c>
      <c r="G27" s="42" t="s">
        <v>25</v>
      </c>
      <c r="H27" s="43" t="s">
        <v>202</v>
      </c>
      <c r="I27" s="18">
        <v>2</v>
      </c>
      <c r="J27" s="21">
        <v>3</v>
      </c>
      <c r="K27" s="15">
        <v>1</v>
      </c>
      <c r="L27" s="16" t="s">
        <v>203</v>
      </c>
      <c r="M27" s="64" t="s">
        <v>204</v>
      </c>
      <c r="N27" s="70" t="s">
        <v>205</v>
      </c>
      <c r="O27" s="70" t="s">
        <v>206</v>
      </c>
      <c r="P27" s="19" t="s">
        <v>139</v>
      </c>
      <c r="Q27" s="18" t="s">
        <v>29</v>
      </c>
      <c r="R27" s="19" t="s">
        <v>30</v>
      </c>
      <c r="S27" s="18" t="s">
        <v>31</v>
      </c>
      <c r="T27" s="24">
        <v>46142</v>
      </c>
      <c r="U27" s="16"/>
      <c r="V27" s="16"/>
      <c r="W27" s="46">
        <v>1</v>
      </c>
    </row>
    <row r="28" spans="1:23" ht="270" x14ac:dyDescent="0.2">
      <c r="A28" s="18" t="s">
        <v>207</v>
      </c>
      <c r="B28" s="36" t="s">
        <v>60</v>
      </c>
      <c r="C28" s="19" t="s">
        <v>61</v>
      </c>
      <c r="D28" s="20" t="s">
        <v>208</v>
      </c>
      <c r="E28" s="19" t="s">
        <v>209</v>
      </c>
      <c r="F28" s="19" t="s">
        <v>210</v>
      </c>
      <c r="G28" s="37" t="s">
        <v>63</v>
      </c>
      <c r="H28" s="36" t="s">
        <v>211</v>
      </c>
      <c r="I28" s="18">
        <v>2</v>
      </c>
      <c r="J28" s="21">
        <v>3</v>
      </c>
      <c r="K28" s="18">
        <f t="shared" ref="K28:K63" si="1">IF(AND(ISNUMBER(I28),ISNUMBER(J28)),J28-I28,"")</f>
        <v>1</v>
      </c>
      <c r="L28" s="19" t="s">
        <v>212</v>
      </c>
      <c r="M28" s="65" t="s">
        <v>213</v>
      </c>
      <c r="N28" s="70" t="s">
        <v>214</v>
      </c>
      <c r="O28" s="70" t="s">
        <v>215</v>
      </c>
      <c r="P28" s="19" t="s">
        <v>148</v>
      </c>
      <c r="Q28" s="18"/>
      <c r="R28" s="19"/>
      <c r="S28" s="18" t="s">
        <v>31</v>
      </c>
      <c r="T28" s="19"/>
      <c r="U28" s="19"/>
      <c r="V28" s="19"/>
      <c r="W28" s="46">
        <v>1</v>
      </c>
    </row>
    <row r="29" spans="1:23" ht="285" x14ac:dyDescent="0.2">
      <c r="A29" s="15" t="s">
        <v>216</v>
      </c>
      <c r="B29" s="43" t="s">
        <v>60</v>
      </c>
      <c r="C29" s="16" t="s">
        <v>61</v>
      </c>
      <c r="D29" s="17" t="s">
        <v>217</v>
      </c>
      <c r="E29" s="16" t="s">
        <v>218</v>
      </c>
      <c r="F29" s="16" t="s">
        <v>219</v>
      </c>
      <c r="G29" s="42" t="s">
        <v>63</v>
      </c>
      <c r="H29" s="43" t="s">
        <v>220</v>
      </c>
      <c r="I29" s="15">
        <v>2</v>
      </c>
      <c r="J29" s="15">
        <v>3</v>
      </c>
      <c r="K29" s="15">
        <f t="shared" si="1"/>
        <v>1</v>
      </c>
      <c r="L29" s="16" t="s">
        <v>221</v>
      </c>
      <c r="M29" s="64" t="s">
        <v>222</v>
      </c>
      <c r="N29" s="70" t="s">
        <v>223</v>
      </c>
      <c r="O29" s="70" t="s">
        <v>224</v>
      </c>
      <c r="P29" s="16" t="s">
        <v>148</v>
      </c>
      <c r="Q29" s="15" t="s">
        <v>29</v>
      </c>
      <c r="R29" s="16" t="s">
        <v>30</v>
      </c>
      <c r="S29" s="15" t="s">
        <v>31</v>
      </c>
      <c r="T29" s="28">
        <v>46173</v>
      </c>
      <c r="U29" s="16"/>
      <c r="V29" s="16"/>
      <c r="W29" s="46">
        <v>1</v>
      </c>
    </row>
    <row r="30" spans="1:23" ht="225" x14ac:dyDescent="0.2">
      <c r="A30" s="18" t="s">
        <v>225</v>
      </c>
      <c r="B30" s="39" t="s">
        <v>60</v>
      </c>
      <c r="C30" s="19" t="s">
        <v>61</v>
      </c>
      <c r="D30" s="20" t="s">
        <v>226</v>
      </c>
      <c r="E30" s="19" t="s">
        <v>227</v>
      </c>
      <c r="F30" s="19" t="s">
        <v>228</v>
      </c>
      <c r="G30" s="38" t="s">
        <v>25</v>
      </c>
      <c r="H30" s="39" t="s">
        <v>229</v>
      </c>
      <c r="I30" s="18"/>
      <c r="J30" s="21">
        <v>4</v>
      </c>
      <c r="K30" s="18" t="str">
        <f t="shared" si="1"/>
        <v/>
      </c>
      <c r="L30" s="19" t="s">
        <v>230</v>
      </c>
      <c r="M30" s="65" t="s">
        <v>231</v>
      </c>
      <c r="N30" s="70" t="s">
        <v>232</v>
      </c>
      <c r="O30" s="70" t="s">
        <v>233</v>
      </c>
      <c r="P30" s="19" t="s">
        <v>148</v>
      </c>
      <c r="Q30" s="18" t="s">
        <v>29</v>
      </c>
      <c r="R30" s="19" t="s">
        <v>93</v>
      </c>
      <c r="S30" s="18" t="s">
        <v>31</v>
      </c>
      <c r="T30" s="24">
        <v>46173</v>
      </c>
      <c r="U30" s="19"/>
      <c r="V30" s="19"/>
      <c r="W30" s="46">
        <v>1</v>
      </c>
    </row>
    <row r="31" spans="1:23" ht="314" x14ac:dyDescent="0.2">
      <c r="A31" s="15" t="s">
        <v>234</v>
      </c>
      <c r="B31" s="34" t="s">
        <v>60</v>
      </c>
      <c r="C31" s="16" t="s">
        <v>61</v>
      </c>
      <c r="D31" s="17" t="s">
        <v>235</v>
      </c>
      <c r="E31" s="16" t="s">
        <v>236</v>
      </c>
      <c r="F31" s="16" t="s">
        <v>237</v>
      </c>
      <c r="G31" s="33" t="s">
        <v>53</v>
      </c>
      <c r="H31" s="34" t="s">
        <v>238</v>
      </c>
      <c r="I31" s="15">
        <v>2</v>
      </c>
      <c r="J31" s="15">
        <v>3</v>
      </c>
      <c r="K31" s="15">
        <f t="shared" si="1"/>
        <v>1</v>
      </c>
      <c r="L31" s="16" t="s">
        <v>239</v>
      </c>
      <c r="M31" s="64" t="s">
        <v>240</v>
      </c>
      <c r="N31" s="70" t="s">
        <v>241</v>
      </c>
      <c r="O31" s="70" t="s">
        <v>242</v>
      </c>
      <c r="P31" s="16" t="s">
        <v>243</v>
      </c>
      <c r="Q31" s="15" t="s">
        <v>29</v>
      </c>
      <c r="R31" s="16" t="s">
        <v>30</v>
      </c>
      <c r="S31" s="15" t="s">
        <v>31</v>
      </c>
      <c r="T31" s="28">
        <v>46173</v>
      </c>
      <c r="U31" s="16"/>
      <c r="V31" s="16"/>
      <c r="W31" s="46">
        <v>1</v>
      </c>
    </row>
    <row r="32" spans="1:23" ht="225" x14ac:dyDescent="0.2">
      <c r="A32" s="18" t="s">
        <v>244</v>
      </c>
      <c r="B32" s="36" t="s">
        <v>60</v>
      </c>
      <c r="C32" s="19" t="s">
        <v>61</v>
      </c>
      <c r="D32" s="20" t="s">
        <v>245</v>
      </c>
      <c r="E32" s="19" t="s">
        <v>246</v>
      </c>
      <c r="F32" s="19" t="s">
        <v>247</v>
      </c>
      <c r="G32" s="37" t="s">
        <v>63</v>
      </c>
      <c r="H32" s="36" t="s">
        <v>248</v>
      </c>
      <c r="I32" s="18">
        <v>2</v>
      </c>
      <c r="J32" s="21">
        <v>3</v>
      </c>
      <c r="K32" s="18">
        <f t="shared" si="1"/>
        <v>1</v>
      </c>
      <c r="L32" s="19" t="s">
        <v>249</v>
      </c>
      <c r="M32" s="65" t="s">
        <v>250</v>
      </c>
      <c r="N32" s="70" t="s">
        <v>251</v>
      </c>
      <c r="O32" s="70" t="s">
        <v>252</v>
      </c>
      <c r="P32" s="19" t="s">
        <v>253</v>
      </c>
      <c r="Q32" s="18" t="s">
        <v>29</v>
      </c>
      <c r="R32" s="19" t="s">
        <v>93</v>
      </c>
      <c r="S32" s="18" t="s">
        <v>31</v>
      </c>
      <c r="T32" s="24">
        <v>46173</v>
      </c>
      <c r="U32" s="19"/>
      <c r="V32" s="19"/>
      <c r="W32" s="46">
        <v>1</v>
      </c>
    </row>
    <row r="33" spans="1:23" ht="314" x14ac:dyDescent="0.2">
      <c r="A33" s="15" t="s">
        <v>254</v>
      </c>
      <c r="B33" s="35" t="s">
        <v>60</v>
      </c>
      <c r="C33" s="16" t="s">
        <v>61</v>
      </c>
      <c r="D33" s="17" t="s">
        <v>255</v>
      </c>
      <c r="E33" s="16" t="s">
        <v>256</v>
      </c>
      <c r="F33" s="16" t="s">
        <v>257</v>
      </c>
      <c r="G33" s="44" t="s">
        <v>63</v>
      </c>
      <c r="H33" s="35" t="s">
        <v>258</v>
      </c>
      <c r="I33" s="15">
        <v>2</v>
      </c>
      <c r="J33" s="22">
        <v>3</v>
      </c>
      <c r="K33" s="15">
        <f t="shared" si="1"/>
        <v>1</v>
      </c>
      <c r="L33" s="16" t="s">
        <v>259</v>
      </c>
      <c r="M33" s="64" t="s">
        <v>260</v>
      </c>
      <c r="N33" s="70" t="s">
        <v>261</v>
      </c>
      <c r="O33" s="70" t="s">
        <v>262</v>
      </c>
      <c r="P33" s="16" t="s">
        <v>263</v>
      </c>
      <c r="Q33" s="15" t="s">
        <v>29</v>
      </c>
      <c r="R33" s="16" t="s">
        <v>93</v>
      </c>
      <c r="S33" s="15" t="s">
        <v>31</v>
      </c>
      <c r="T33" s="28">
        <v>46173</v>
      </c>
      <c r="U33" s="16"/>
      <c r="V33" s="16"/>
      <c r="W33" s="46">
        <v>1</v>
      </c>
    </row>
    <row r="34" spans="1:23" ht="255" x14ac:dyDescent="0.2">
      <c r="A34" s="18" t="s">
        <v>264</v>
      </c>
      <c r="B34" s="39" t="s">
        <v>60</v>
      </c>
      <c r="C34" s="19" t="s">
        <v>265</v>
      </c>
      <c r="D34" s="20" t="s">
        <v>266</v>
      </c>
      <c r="E34" s="19" t="s">
        <v>267</v>
      </c>
      <c r="F34" s="19" t="s">
        <v>268</v>
      </c>
      <c r="G34" s="38" t="s">
        <v>25</v>
      </c>
      <c r="H34" s="39" t="s">
        <v>269</v>
      </c>
      <c r="I34" s="18">
        <v>3</v>
      </c>
      <c r="J34" s="21">
        <v>3</v>
      </c>
      <c r="K34" s="18">
        <f t="shared" si="1"/>
        <v>0</v>
      </c>
      <c r="L34" s="19" t="s">
        <v>270</v>
      </c>
      <c r="M34" s="65" t="s">
        <v>271</v>
      </c>
      <c r="N34" s="71" t="s">
        <v>272</v>
      </c>
      <c r="O34" s="70" t="s">
        <v>273</v>
      </c>
      <c r="P34" s="19" t="s">
        <v>274</v>
      </c>
      <c r="Q34" s="15" t="s">
        <v>29</v>
      </c>
      <c r="R34" s="16" t="s">
        <v>93</v>
      </c>
      <c r="S34" s="18" t="s">
        <v>31</v>
      </c>
      <c r="T34" s="19"/>
      <c r="U34" s="19"/>
      <c r="V34" s="19"/>
      <c r="W34" s="46">
        <v>1</v>
      </c>
    </row>
    <row r="35" spans="1:23" ht="288" customHeight="1" x14ac:dyDescent="0.2">
      <c r="A35" s="15" t="s">
        <v>275</v>
      </c>
      <c r="B35" s="43" t="s">
        <v>60</v>
      </c>
      <c r="C35" s="16" t="s">
        <v>265</v>
      </c>
      <c r="D35" s="17" t="s">
        <v>276</v>
      </c>
      <c r="E35" s="16" t="s">
        <v>277</v>
      </c>
      <c r="F35" s="16" t="s">
        <v>278</v>
      </c>
      <c r="G35" s="42" t="s">
        <v>25</v>
      </c>
      <c r="H35" s="43" t="s">
        <v>279</v>
      </c>
      <c r="I35" s="15">
        <v>3</v>
      </c>
      <c r="J35" s="15">
        <v>3</v>
      </c>
      <c r="K35" s="15">
        <f t="shared" si="1"/>
        <v>0</v>
      </c>
      <c r="L35" s="16" t="s">
        <v>280</v>
      </c>
      <c r="M35" s="64" t="s">
        <v>281</v>
      </c>
      <c r="N35" s="70" t="s">
        <v>282</v>
      </c>
      <c r="O35" s="70" t="s">
        <v>283</v>
      </c>
      <c r="P35" s="16"/>
      <c r="Q35" s="15"/>
      <c r="R35" s="16"/>
      <c r="S35" s="15" t="s">
        <v>31</v>
      </c>
      <c r="T35" s="16"/>
      <c r="U35" s="16"/>
      <c r="V35" s="16"/>
      <c r="W35" s="46">
        <v>1</v>
      </c>
    </row>
    <row r="36" spans="1:23" ht="300" x14ac:dyDescent="0.2">
      <c r="A36" s="18" t="s">
        <v>284</v>
      </c>
      <c r="B36" s="36" t="s">
        <v>60</v>
      </c>
      <c r="C36" s="19" t="s">
        <v>265</v>
      </c>
      <c r="D36" s="20" t="s">
        <v>285</v>
      </c>
      <c r="E36" s="19" t="s">
        <v>286</v>
      </c>
      <c r="F36" s="19" t="s">
        <v>287</v>
      </c>
      <c r="G36" s="44" t="s">
        <v>63</v>
      </c>
      <c r="H36" s="36" t="s">
        <v>288</v>
      </c>
      <c r="I36" s="18">
        <v>2</v>
      </c>
      <c r="J36" s="21">
        <v>3</v>
      </c>
      <c r="K36" s="18">
        <f t="shared" si="1"/>
        <v>1</v>
      </c>
      <c r="L36" s="19" t="s">
        <v>289</v>
      </c>
      <c r="M36" s="65" t="s">
        <v>290</v>
      </c>
      <c r="N36" s="70" t="s">
        <v>291</v>
      </c>
      <c r="O36" s="70" t="s">
        <v>292</v>
      </c>
      <c r="P36" s="19" t="s">
        <v>274</v>
      </c>
      <c r="Q36" s="15" t="s">
        <v>29</v>
      </c>
      <c r="R36" s="16" t="s">
        <v>93</v>
      </c>
      <c r="S36" s="18" t="s">
        <v>31</v>
      </c>
      <c r="T36" s="19"/>
      <c r="U36" s="19"/>
      <c r="V36" s="19"/>
      <c r="W36" s="46">
        <v>1</v>
      </c>
    </row>
    <row r="37" spans="1:23" ht="270" x14ac:dyDescent="0.2">
      <c r="A37" s="15" t="s">
        <v>293</v>
      </c>
      <c r="B37" s="43" t="s">
        <v>60</v>
      </c>
      <c r="C37" s="16" t="s">
        <v>265</v>
      </c>
      <c r="D37" s="17" t="s">
        <v>294</v>
      </c>
      <c r="E37" s="16" t="s">
        <v>295</v>
      </c>
      <c r="F37" s="16" t="s">
        <v>296</v>
      </c>
      <c r="G37" s="38" t="s">
        <v>63</v>
      </c>
      <c r="H37" s="43" t="s">
        <v>297</v>
      </c>
      <c r="I37" s="15">
        <v>2</v>
      </c>
      <c r="J37" s="15">
        <v>3</v>
      </c>
      <c r="K37" s="15">
        <f t="shared" si="1"/>
        <v>1</v>
      </c>
      <c r="L37" s="16" t="s">
        <v>298</v>
      </c>
      <c r="M37" s="64" t="s">
        <v>299</v>
      </c>
      <c r="N37" s="70" t="s">
        <v>300</v>
      </c>
      <c r="O37" s="70" t="s">
        <v>301</v>
      </c>
      <c r="P37" s="19" t="s">
        <v>274</v>
      </c>
      <c r="Q37" s="15" t="s">
        <v>29</v>
      </c>
      <c r="R37" s="16" t="s">
        <v>93</v>
      </c>
      <c r="S37" s="15" t="s">
        <v>31</v>
      </c>
      <c r="T37" s="16"/>
      <c r="U37" s="16"/>
      <c r="V37" s="16"/>
      <c r="W37" s="46">
        <v>1</v>
      </c>
    </row>
    <row r="38" spans="1:23" ht="314" x14ac:dyDescent="0.2">
      <c r="A38" s="18" t="s">
        <v>302</v>
      </c>
      <c r="B38" s="41" t="s">
        <v>60</v>
      </c>
      <c r="C38" s="19" t="s">
        <v>303</v>
      </c>
      <c r="D38" s="20" t="s">
        <v>304</v>
      </c>
      <c r="E38" s="19" t="s">
        <v>305</v>
      </c>
      <c r="F38" s="19" t="s">
        <v>306</v>
      </c>
      <c r="G38" s="33" t="s">
        <v>53</v>
      </c>
      <c r="H38" s="41" t="s">
        <v>307</v>
      </c>
      <c r="I38" s="18">
        <v>1</v>
      </c>
      <c r="J38" s="21">
        <v>3</v>
      </c>
      <c r="K38" s="18">
        <f t="shared" si="1"/>
        <v>2</v>
      </c>
      <c r="L38" s="52" t="s">
        <v>308</v>
      </c>
      <c r="M38" s="66" t="s">
        <v>309</v>
      </c>
      <c r="N38" s="70" t="s">
        <v>310</v>
      </c>
      <c r="O38" s="70" t="s">
        <v>311</v>
      </c>
      <c r="P38" s="19" t="s">
        <v>312</v>
      </c>
      <c r="Q38" s="18" t="s">
        <v>29</v>
      </c>
      <c r="R38" s="19" t="s">
        <v>30</v>
      </c>
      <c r="S38" s="18" t="s">
        <v>31</v>
      </c>
      <c r="T38" s="19"/>
      <c r="U38" s="19"/>
      <c r="V38" s="19"/>
      <c r="W38" s="46">
        <v>1</v>
      </c>
    </row>
    <row r="39" spans="1:23" ht="240" x14ac:dyDescent="0.2">
      <c r="A39" s="15" t="s">
        <v>313</v>
      </c>
      <c r="B39" s="35" t="s">
        <v>60</v>
      </c>
      <c r="C39" s="16" t="s">
        <v>303</v>
      </c>
      <c r="D39" s="17" t="s">
        <v>314</v>
      </c>
      <c r="E39" s="16" t="s">
        <v>315</v>
      </c>
      <c r="F39" s="16" t="s">
        <v>316</v>
      </c>
      <c r="G39" s="37" t="s">
        <v>63</v>
      </c>
      <c r="H39" s="35" t="s">
        <v>317</v>
      </c>
      <c r="I39" s="15">
        <v>2</v>
      </c>
      <c r="J39" s="15">
        <v>3</v>
      </c>
      <c r="K39" s="15">
        <f t="shared" si="1"/>
        <v>1</v>
      </c>
      <c r="L39" s="16" t="s">
        <v>318</v>
      </c>
      <c r="M39" s="64" t="s">
        <v>319</v>
      </c>
      <c r="N39" s="70" t="s">
        <v>320</v>
      </c>
      <c r="O39" s="70" t="s">
        <v>321</v>
      </c>
      <c r="P39" s="19" t="s">
        <v>312</v>
      </c>
      <c r="Q39" s="18" t="s">
        <v>29</v>
      </c>
      <c r="R39" s="19" t="s">
        <v>30</v>
      </c>
      <c r="S39" s="15" t="s">
        <v>31</v>
      </c>
      <c r="T39" s="16"/>
      <c r="U39" s="16"/>
      <c r="V39" s="16"/>
      <c r="W39" s="46">
        <v>1</v>
      </c>
    </row>
    <row r="40" spans="1:23" ht="270" x14ac:dyDescent="0.2">
      <c r="A40" s="18" t="s">
        <v>322</v>
      </c>
      <c r="B40" s="36" t="s">
        <v>60</v>
      </c>
      <c r="C40" s="19" t="s">
        <v>303</v>
      </c>
      <c r="D40" s="20" t="s">
        <v>323</v>
      </c>
      <c r="E40" s="19" t="s">
        <v>324</v>
      </c>
      <c r="F40" s="19" t="s">
        <v>325</v>
      </c>
      <c r="G40" s="44" t="s">
        <v>63</v>
      </c>
      <c r="H40" s="36" t="s">
        <v>326</v>
      </c>
      <c r="I40" s="18">
        <v>2</v>
      </c>
      <c r="J40" s="21">
        <v>3</v>
      </c>
      <c r="K40" s="18">
        <f t="shared" si="1"/>
        <v>1</v>
      </c>
      <c r="L40" s="19" t="s">
        <v>327</v>
      </c>
      <c r="M40" s="65" t="s">
        <v>328</v>
      </c>
      <c r="N40" s="70" t="s">
        <v>329</v>
      </c>
      <c r="O40" s="70" t="s">
        <v>330</v>
      </c>
      <c r="P40" s="19" t="s">
        <v>331</v>
      </c>
      <c r="Q40" s="18" t="s">
        <v>29</v>
      </c>
      <c r="R40" s="19" t="s">
        <v>93</v>
      </c>
      <c r="S40" s="18" t="s">
        <v>31</v>
      </c>
      <c r="T40" s="19"/>
      <c r="U40" s="19"/>
      <c r="V40" s="19"/>
      <c r="W40" s="46">
        <v>1</v>
      </c>
    </row>
    <row r="41" spans="1:23" ht="285" x14ac:dyDescent="0.2">
      <c r="A41" s="15" t="s">
        <v>332</v>
      </c>
      <c r="B41" s="35" t="s">
        <v>60</v>
      </c>
      <c r="C41" s="16" t="s">
        <v>333</v>
      </c>
      <c r="D41" s="17" t="s">
        <v>334</v>
      </c>
      <c r="E41" s="16" t="s">
        <v>335</v>
      </c>
      <c r="F41" s="16" t="s">
        <v>336</v>
      </c>
      <c r="G41" s="37" t="s">
        <v>63</v>
      </c>
      <c r="H41" s="35" t="s">
        <v>337</v>
      </c>
      <c r="I41" s="15">
        <v>2</v>
      </c>
      <c r="J41" s="15">
        <v>3</v>
      </c>
      <c r="K41" s="15">
        <f t="shared" si="1"/>
        <v>1</v>
      </c>
      <c r="L41" s="19" t="s">
        <v>338</v>
      </c>
      <c r="M41" s="65" t="s">
        <v>339</v>
      </c>
      <c r="N41" s="70" t="s">
        <v>340</v>
      </c>
      <c r="O41" s="70" t="s">
        <v>341</v>
      </c>
      <c r="P41" s="16" t="s">
        <v>342</v>
      </c>
      <c r="Q41" s="15" t="s">
        <v>29</v>
      </c>
      <c r="R41" s="16" t="s">
        <v>93</v>
      </c>
      <c r="S41" s="15" t="s">
        <v>31</v>
      </c>
      <c r="T41" s="16"/>
      <c r="U41" s="16"/>
      <c r="V41" s="16"/>
      <c r="W41" s="46">
        <v>1</v>
      </c>
    </row>
    <row r="42" spans="1:23" ht="270" x14ac:dyDescent="0.2">
      <c r="A42" s="18" t="s">
        <v>343</v>
      </c>
      <c r="B42" s="36" t="s">
        <v>60</v>
      </c>
      <c r="C42" s="19" t="s">
        <v>333</v>
      </c>
      <c r="D42" s="20" t="s">
        <v>344</v>
      </c>
      <c r="E42" s="19" t="s">
        <v>345</v>
      </c>
      <c r="F42" s="19" t="s">
        <v>346</v>
      </c>
      <c r="G42" s="44" t="s">
        <v>63</v>
      </c>
      <c r="H42" s="35" t="s">
        <v>347</v>
      </c>
      <c r="I42" s="18">
        <v>1</v>
      </c>
      <c r="J42" s="21">
        <v>3</v>
      </c>
      <c r="K42" s="18">
        <f t="shared" si="1"/>
        <v>2</v>
      </c>
      <c r="L42" s="54" t="s">
        <v>348</v>
      </c>
      <c r="M42" s="67" t="s">
        <v>349</v>
      </c>
      <c r="N42" s="70" t="s">
        <v>350</v>
      </c>
      <c r="O42" s="70" t="s">
        <v>351</v>
      </c>
      <c r="P42" s="16" t="s">
        <v>342</v>
      </c>
      <c r="Q42" s="15" t="s">
        <v>29</v>
      </c>
      <c r="R42" s="16" t="s">
        <v>93</v>
      </c>
      <c r="S42" s="18" t="s">
        <v>31</v>
      </c>
      <c r="T42" s="19"/>
      <c r="U42" s="19"/>
      <c r="V42" s="19"/>
      <c r="W42" s="46">
        <v>1</v>
      </c>
    </row>
    <row r="43" spans="1:23" ht="255" x14ac:dyDescent="0.2">
      <c r="A43" s="15" t="s">
        <v>352</v>
      </c>
      <c r="B43" s="35" t="s">
        <v>60</v>
      </c>
      <c r="C43" s="16" t="s">
        <v>333</v>
      </c>
      <c r="D43" s="17" t="s">
        <v>353</v>
      </c>
      <c r="E43" s="16" t="s">
        <v>354</v>
      </c>
      <c r="F43" s="16" t="s">
        <v>355</v>
      </c>
      <c r="G43" s="37" t="s">
        <v>63</v>
      </c>
      <c r="H43" s="36" t="s">
        <v>356</v>
      </c>
      <c r="I43" s="15">
        <v>2</v>
      </c>
      <c r="J43" s="15">
        <v>3</v>
      </c>
      <c r="K43" s="15">
        <f t="shared" si="1"/>
        <v>1</v>
      </c>
      <c r="L43" s="53" t="s">
        <v>357</v>
      </c>
      <c r="M43" s="68" t="s">
        <v>358</v>
      </c>
      <c r="N43" s="70" t="s">
        <v>359</v>
      </c>
      <c r="O43" s="70" t="s">
        <v>360</v>
      </c>
      <c r="P43" s="16" t="s">
        <v>342</v>
      </c>
      <c r="Q43" s="15" t="s">
        <v>29</v>
      </c>
      <c r="R43" s="16" t="s">
        <v>93</v>
      </c>
      <c r="S43" s="15" t="s">
        <v>31</v>
      </c>
      <c r="T43" s="16"/>
      <c r="U43" s="16"/>
      <c r="V43" s="16"/>
      <c r="W43" s="46">
        <v>1</v>
      </c>
    </row>
    <row r="44" spans="1:23" ht="300" x14ac:dyDescent="0.2">
      <c r="A44" s="18" t="s">
        <v>361</v>
      </c>
      <c r="B44" s="36" t="s">
        <v>60</v>
      </c>
      <c r="C44" s="19" t="s">
        <v>333</v>
      </c>
      <c r="D44" s="55" t="s">
        <v>362</v>
      </c>
      <c r="E44" s="19" t="s">
        <v>363</v>
      </c>
      <c r="F44" s="19" t="s">
        <v>364</v>
      </c>
      <c r="G44" s="37" t="s">
        <v>63</v>
      </c>
      <c r="H44" s="36" t="s">
        <v>365</v>
      </c>
      <c r="I44" s="18">
        <v>2</v>
      </c>
      <c r="J44" s="21">
        <v>3</v>
      </c>
      <c r="K44" s="18">
        <f t="shared" si="1"/>
        <v>1</v>
      </c>
      <c r="L44" s="19" t="s">
        <v>366</v>
      </c>
      <c r="M44" s="65" t="s">
        <v>367</v>
      </c>
      <c r="N44" s="70" t="s">
        <v>368</v>
      </c>
      <c r="O44" s="70" t="s">
        <v>369</v>
      </c>
      <c r="P44" s="16" t="s">
        <v>342</v>
      </c>
      <c r="Q44" s="15" t="s">
        <v>29</v>
      </c>
      <c r="R44" s="16" t="s">
        <v>93</v>
      </c>
      <c r="S44" s="18" t="s">
        <v>31</v>
      </c>
      <c r="T44" s="19"/>
      <c r="U44" s="19"/>
      <c r="V44" s="19"/>
      <c r="W44" s="46">
        <v>1</v>
      </c>
    </row>
    <row r="45" spans="1:23" ht="270" x14ac:dyDescent="0.2">
      <c r="A45" s="15" t="s">
        <v>370</v>
      </c>
      <c r="B45" s="34" t="s">
        <v>60</v>
      </c>
      <c r="C45" s="16" t="s">
        <v>371</v>
      </c>
      <c r="D45" s="17" t="s">
        <v>372</v>
      </c>
      <c r="E45" s="16" t="s">
        <v>373</v>
      </c>
      <c r="F45" s="16" t="s">
        <v>374</v>
      </c>
      <c r="G45" s="40" t="s">
        <v>53</v>
      </c>
      <c r="H45" s="56" t="s">
        <v>375</v>
      </c>
      <c r="I45" s="15">
        <v>1</v>
      </c>
      <c r="J45" s="15">
        <v>3</v>
      </c>
      <c r="K45" s="15">
        <f t="shared" si="1"/>
        <v>2</v>
      </c>
      <c r="L45" s="53" t="s">
        <v>376</v>
      </c>
      <c r="M45" s="68" t="s">
        <v>377</v>
      </c>
      <c r="N45" s="70" t="s">
        <v>378</v>
      </c>
      <c r="O45" s="70" t="s">
        <v>379</v>
      </c>
      <c r="P45" s="16" t="s">
        <v>342</v>
      </c>
      <c r="Q45" s="15" t="s">
        <v>29</v>
      </c>
      <c r="R45" s="16" t="s">
        <v>380</v>
      </c>
      <c r="S45" s="15" t="s">
        <v>31</v>
      </c>
      <c r="T45" s="16"/>
      <c r="U45" s="16"/>
      <c r="V45" s="16"/>
      <c r="W45" s="46">
        <v>1</v>
      </c>
    </row>
    <row r="46" spans="1:23" ht="255" x14ac:dyDescent="0.2">
      <c r="A46" s="18" t="s">
        <v>381</v>
      </c>
      <c r="B46" s="39" t="s">
        <v>60</v>
      </c>
      <c r="C46" s="16" t="s">
        <v>371</v>
      </c>
      <c r="D46" s="20" t="s">
        <v>382</v>
      </c>
      <c r="E46" s="19" t="s">
        <v>383</v>
      </c>
      <c r="F46" s="19" t="s">
        <v>384</v>
      </c>
      <c r="G46" s="42" t="s">
        <v>25</v>
      </c>
      <c r="H46" s="57" t="s">
        <v>385</v>
      </c>
      <c r="I46" s="18">
        <v>3</v>
      </c>
      <c r="J46" s="21">
        <v>3</v>
      </c>
      <c r="K46" s="18">
        <f t="shared" si="1"/>
        <v>0</v>
      </c>
      <c r="L46" s="54" t="s">
        <v>386</v>
      </c>
      <c r="M46" s="67" t="s">
        <v>387</v>
      </c>
      <c r="N46" s="70" t="s">
        <v>388</v>
      </c>
      <c r="O46" s="70" t="s">
        <v>389</v>
      </c>
      <c r="P46" s="19" t="s">
        <v>342</v>
      </c>
      <c r="Q46" s="18" t="s">
        <v>29</v>
      </c>
      <c r="R46" s="19" t="s">
        <v>390</v>
      </c>
      <c r="S46" s="18" t="s">
        <v>31</v>
      </c>
      <c r="T46" s="19"/>
      <c r="U46" s="19"/>
      <c r="V46" s="19"/>
      <c r="W46" s="46">
        <v>1</v>
      </c>
    </row>
    <row r="47" spans="1:23" ht="300" x14ac:dyDescent="0.2">
      <c r="A47" s="15" t="s">
        <v>391</v>
      </c>
      <c r="B47" s="34" t="s">
        <v>60</v>
      </c>
      <c r="C47" s="16" t="s">
        <v>371</v>
      </c>
      <c r="D47" s="17" t="s">
        <v>392</v>
      </c>
      <c r="E47" s="16" t="s">
        <v>393</v>
      </c>
      <c r="F47" s="16" t="s">
        <v>394</v>
      </c>
      <c r="G47" s="40" t="s">
        <v>53</v>
      </c>
      <c r="H47" s="59" t="s">
        <v>395</v>
      </c>
      <c r="I47" s="15">
        <v>1</v>
      </c>
      <c r="J47" s="15">
        <v>3</v>
      </c>
      <c r="K47" s="15">
        <f t="shared" si="1"/>
        <v>2</v>
      </c>
      <c r="L47" s="53" t="s">
        <v>396</v>
      </c>
      <c r="M47" s="68" t="s">
        <v>397</v>
      </c>
      <c r="N47" s="70" t="s">
        <v>398</v>
      </c>
      <c r="O47" s="70" t="s">
        <v>399</v>
      </c>
      <c r="P47" s="16" t="s">
        <v>342</v>
      </c>
      <c r="Q47" s="15" t="s">
        <v>400</v>
      </c>
      <c r="R47" s="16" t="s">
        <v>380</v>
      </c>
      <c r="S47" s="15" t="s">
        <v>31</v>
      </c>
      <c r="T47" s="16"/>
      <c r="U47" s="16"/>
      <c r="V47" s="16"/>
      <c r="W47" s="46">
        <v>1</v>
      </c>
    </row>
    <row r="48" spans="1:23" ht="240" x14ac:dyDescent="0.2">
      <c r="A48" s="18" t="s">
        <v>401</v>
      </c>
      <c r="B48" s="36" t="s">
        <v>60</v>
      </c>
      <c r="C48" s="16" t="s">
        <v>371</v>
      </c>
      <c r="D48" s="20" t="s">
        <v>402</v>
      </c>
      <c r="E48" s="19" t="s">
        <v>403</v>
      </c>
      <c r="F48" s="19" t="s">
        <v>404</v>
      </c>
      <c r="G48" s="44" t="s">
        <v>63</v>
      </c>
      <c r="H48" s="58" t="s">
        <v>405</v>
      </c>
      <c r="I48" s="18">
        <v>2</v>
      </c>
      <c r="J48" s="21">
        <v>3</v>
      </c>
      <c r="K48" s="18">
        <f t="shared" si="1"/>
        <v>1</v>
      </c>
      <c r="L48" s="54" t="s">
        <v>406</v>
      </c>
      <c r="M48" s="67" t="s">
        <v>407</v>
      </c>
      <c r="N48" s="70" t="s">
        <v>408</v>
      </c>
      <c r="O48" s="70" t="s">
        <v>409</v>
      </c>
      <c r="P48" s="19" t="s">
        <v>410</v>
      </c>
      <c r="Q48" s="15" t="s">
        <v>400</v>
      </c>
      <c r="R48" s="16" t="s">
        <v>93</v>
      </c>
      <c r="S48" s="15" t="s">
        <v>31</v>
      </c>
      <c r="T48" s="19"/>
      <c r="U48" s="19"/>
      <c r="V48" s="19"/>
      <c r="W48" s="46">
        <v>1</v>
      </c>
    </row>
    <row r="49" spans="1:23" ht="270" x14ac:dyDescent="0.2">
      <c r="A49" s="15" t="s">
        <v>411</v>
      </c>
      <c r="B49" s="35" t="s">
        <v>60</v>
      </c>
      <c r="C49" s="16" t="s">
        <v>371</v>
      </c>
      <c r="D49" s="17" t="s">
        <v>412</v>
      </c>
      <c r="E49" s="16" t="s">
        <v>413</v>
      </c>
      <c r="F49" s="16" t="s">
        <v>414</v>
      </c>
      <c r="G49" s="37" t="s">
        <v>63</v>
      </c>
      <c r="H49" s="60" t="s">
        <v>415</v>
      </c>
      <c r="I49" s="18">
        <v>2</v>
      </c>
      <c r="J49" s="21">
        <v>3</v>
      </c>
      <c r="K49" s="15">
        <f t="shared" si="1"/>
        <v>1</v>
      </c>
      <c r="L49" s="53" t="s">
        <v>416</v>
      </c>
      <c r="M49" s="68" t="s">
        <v>417</v>
      </c>
      <c r="N49" s="70" t="s">
        <v>418</v>
      </c>
      <c r="O49" s="70" t="s">
        <v>419</v>
      </c>
      <c r="P49" s="19" t="s">
        <v>410</v>
      </c>
      <c r="Q49" s="15" t="s">
        <v>400</v>
      </c>
      <c r="R49" s="16" t="s">
        <v>93</v>
      </c>
      <c r="S49" s="15" t="s">
        <v>31</v>
      </c>
      <c r="T49" s="16"/>
      <c r="U49" s="16"/>
      <c r="V49" s="16"/>
      <c r="W49" s="46">
        <v>1</v>
      </c>
    </row>
    <row r="50" spans="1:23" ht="285" x14ac:dyDescent="0.2">
      <c r="A50" s="18" t="s">
        <v>420</v>
      </c>
      <c r="B50" s="36" t="s">
        <v>60</v>
      </c>
      <c r="C50" s="16" t="s">
        <v>371</v>
      </c>
      <c r="D50" s="20" t="s">
        <v>421</v>
      </c>
      <c r="E50" s="19" t="s">
        <v>422</v>
      </c>
      <c r="F50" s="19" t="s">
        <v>423</v>
      </c>
      <c r="G50" s="44" t="s">
        <v>63</v>
      </c>
      <c r="H50" s="58" t="s">
        <v>424</v>
      </c>
      <c r="I50" s="18">
        <v>2</v>
      </c>
      <c r="J50" s="21">
        <v>3</v>
      </c>
      <c r="K50" s="18">
        <f t="shared" si="1"/>
        <v>1</v>
      </c>
      <c r="L50" s="54" t="s">
        <v>425</v>
      </c>
      <c r="M50" s="67" t="s">
        <v>426</v>
      </c>
      <c r="N50" s="70" t="s">
        <v>427</v>
      </c>
      <c r="O50" s="70" t="s">
        <v>428</v>
      </c>
      <c r="P50" s="19" t="s">
        <v>410</v>
      </c>
      <c r="Q50" s="15" t="s">
        <v>400</v>
      </c>
      <c r="R50" s="16" t="s">
        <v>93</v>
      </c>
      <c r="S50" s="18" t="s">
        <v>31</v>
      </c>
      <c r="T50" s="19"/>
      <c r="U50" s="19"/>
      <c r="V50" s="19"/>
      <c r="W50" s="46">
        <v>1</v>
      </c>
    </row>
    <row r="51" spans="1:23" ht="255" x14ac:dyDescent="0.2">
      <c r="A51" s="15" t="s">
        <v>429</v>
      </c>
      <c r="B51" s="34" t="s">
        <v>60</v>
      </c>
      <c r="C51" s="16" t="s">
        <v>371</v>
      </c>
      <c r="D51" s="17" t="s">
        <v>430</v>
      </c>
      <c r="E51" s="16" t="s">
        <v>431</v>
      </c>
      <c r="F51" s="16" t="s">
        <v>432</v>
      </c>
      <c r="G51" s="40" t="s">
        <v>53</v>
      </c>
      <c r="H51" s="56" t="s">
        <v>433</v>
      </c>
      <c r="I51" s="18">
        <v>1</v>
      </c>
      <c r="J51" s="21">
        <v>3</v>
      </c>
      <c r="K51" s="18">
        <f t="shared" si="1"/>
        <v>2</v>
      </c>
      <c r="L51" s="53" t="s">
        <v>434</v>
      </c>
      <c r="M51" s="68" t="s">
        <v>435</v>
      </c>
      <c r="N51" s="70" t="s">
        <v>436</v>
      </c>
      <c r="O51" s="70" t="s">
        <v>437</v>
      </c>
      <c r="P51" s="19" t="s">
        <v>410</v>
      </c>
      <c r="Q51" s="15" t="s">
        <v>400</v>
      </c>
      <c r="R51" s="16" t="s">
        <v>30</v>
      </c>
      <c r="S51" s="18" t="s">
        <v>31</v>
      </c>
      <c r="T51" s="16"/>
      <c r="U51" s="16"/>
      <c r="V51" s="16"/>
      <c r="W51" s="46">
        <v>1</v>
      </c>
    </row>
    <row r="52" spans="1:23" ht="240" x14ac:dyDescent="0.2">
      <c r="A52" s="18" t="s">
        <v>438</v>
      </c>
      <c r="B52" s="41" t="s">
        <v>60</v>
      </c>
      <c r="C52" s="16" t="s">
        <v>371</v>
      </c>
      <c r="D52" s="20" t="s">
        <v>439</v>
      </c>
      <c r="E52" s="19" t="s">
        <v>440</v>
      </c>
      <c r="F52" s="19" t="s">
        <v>441</v>
      </c>
      <c r="G52" s="33" t="s">
        <v>53</v>
      </c>
      <c r="H52" s="59" t="s">
        <v>442</v>
      </c>
      <c r="I52" s="18">
        <v>1</v>
      </c>
      <c r="J52" s="21">
        <v>3</v>
      </c>
      <c r="K52" s="18">
        <f t="shared" si="1"/>
        <v>2</v>
      </c>
      <c r="L52" s="53" t="s">
        <v>443</v>
      </c>
      <c r="M52" s="68" t="s">
        <v>444</v>
      </c>
      <c r="N52" s="70" t="s">
        <v>445</v>
      </c>
      <c r="O52" s="70" t="s">
        <v>446</v>
      </c>
      <c r="P52" s="19" t="s">
        <v>410</v>
      </c>
      <c r="Q52" s="15" t="s">
        <v>400</v>
      </c>
      <c r="R52" s="16" t="s">
        <v>30</v>
      </c>
      <c r="S52" s="18" t="s">
        <v>31</v>
      </c>
      <c r="T52" s="19"/>
      <c r="U52" s="19"/>
      <c r="V52" s="19"/>
      <c r="W52" s="46">
        <v>1</v>
      </c>
    </row>
    <row r="53" spans="1:23" ht="270" x14ac:dyDescent="0.2">
      <c r="A53" s="15" t="s">
        <v>447</v>
      </c>
      <c r="B53" s="35" t="s">
        <v>60</v>
      </c>
      <c r="C53" s="16" t="s">
        <v>371</v>
      </c>
      <c r="D53" s="17" t="s">
        <v>448</v>
      </c>
      <c r="E53" s="16" t="s">
        <v>449</v>
      </c>
      <c r="F53" s="16" t="s">
        <v>450</v>
      </c>
      <c r="G53" s="37" t="s">
        <v>63</v>
      </c>
      <c r="H53" s="60" t="s">
        <v>451</v>
      </c>
      <c r="I53" s="15">
        <v>1</v>
      </c>
      <c r="J53" s="15">
        <v>3</v>
      </c>
      <c r="K53" s="15">
        <f t="shared" si="1"/>
        <v>2</v>
      </c>
      <c r="L53" s="53" t="s">
        <v>452</v>
      </c>
      <c r="M53" s="68" t="s">
        <v>453</v>
      </c>
      <c r="N53" s="70" t="s">
        <v>454</v>
      </c>
      <c r="O53" s="70" t="s">
        <v>455</v>
      </c>
      <c r="P53" s="19" t="s">
        <v>410</v>
      </c>
      <c r="Q53" s="15" t="s">
        <v>400</v>
      </c>
      <c r="R53" s="16" t="s">
        <v>30</v>
      </c>
      <c r="S53" s="18" t="s">
        <v>31</v>
      </c>
      <c r="T53" s="16"/>
      <c r="U53" s="16"/>
      <c r="V53" s="16"/>
      <c r="W53" s="46">
        <v>1</v>
      </c>
    </row>
    <row r="54" spans="1:23" ht="255" x14ac:dyDescent="0.2">
      <c r="A54" s="18" t="s">
        <v>456</v>
      </c>
      <c r="B54" s="36" t="s">
        <v>60</v>
      </c>
      <c r="C54" s="16" t="s">
        <v>371</v>
      </c>
      <c r="D54" s="20" t="s">
        <v>457</v>
      </c>
      <c r="E54" s="19" t="s">
        <v>458</v>
      </c>
      <c r="F54" s="19" t="s">
        <v>459</v>
      </c>
      <c r="G54" s="44" t="s">
        <v>63</v>
      </c>
      <c r="H54" s="58" t="s">
        <v>460</v>
      </c>
      <c r="I54" s="15">
        <v>1</v>
      </c>
      <c r="J54" s="15">
        <v>3</v>
      </c>
      <c r="K54" s="15">
        <f t="shared" si="1"/>
        <v>2</v>
      </c>
      <c r="L54" s="54" t="s">
        <v>461</v>
      </c>
      <c r="M54" s="67" t="s">
        <v>462</v>
      </c>
      <c r="N54" s="70" t="s">
        <v>463</v>
      </c>
      <c r="O54" s="70" t="s">
        <v>464</v>
      </c>
      <c r="P54" s="19" t="s">
        <v>410</v>
      </c>
      <c r="Q54" s="15" t="s">
        <v>400</v>
      </c>
      <c r="R54" s="16" t="s">
        <v>30</v>
      </c>
      <c r="S54" s="18" t="s">
        <v>31</v>
      </c>
      <c r="T54" s="19"/>
      <c r="U54" s="19"/>
      <c r="V54" s="19"/>
      <c r="W54" s="46">
        <v>1</v>
      </c>
    </row>
    <row r="55" spans="1:23" ht="240" x14ac:dyDescent="0.2">
      <c r="A55" s="15" t="s">
        <v>465</v>
      </c>
      <c r="B55" s="43" t="s">
        <v>60</v>
      </c>
      <c r="C55" s="16" t="s">
        <v>371</v>
      </c>
      <c r="D55" s="17" t="s">
        <v>466</v>
      </c>
      <c r="E55" s="16" t="s">
        <v>467</v>
      </c>
      <c r="F55" s="16" t="s">
        <v>468</v>
      </c>
      <c r="G55" s="38" t="s">
        <v>25</v>
      </c>
      <c r="H55" s="61" t="s">
        <v>469</v>
      </c>
      <c r="I55" s="15">
        <v>2</v>
      </c>
      <c r="J55" s="15">
        <v>3</v>
      </c>
      <c r="K55" s="15">
        <f t="shared" si="1"/>
        <v>1</v>
      </c>
      <c r="L55" s="53" t="s">
        <v>470</v>
      </c>
      <c r="M55" s="68" t="s">
        <v>471</v>
      </c>
      <c r="N55" s="70" t="s">
        <v>472</v>
      </c>
      <c r="O55" s="70" t="s">
        <v>473</v>
      </c>
      <c r="P55" s="19" t="s">
        <v>410</v>
      </c>
      <c r="Q55" s="15" t="s">
        <v>400</v>
      </c>
      <c r="R55" s="16" t="s">
        <v>30</v>
      </c>
      <c r="S55" s="18" t="s">
        <v>31</v>
      </c>
      <c r="T55" s="16"/>
      <c r="U55" s="16"/>
      <c r="V55" s="16"/>
      <c r="W55" s="46">
        <v>1</v>
      </c>
    </row>
    <row r="56" spans="1:23" ht="240" x14ac:dyDescent="0.2">
      <c r="A56" s="18" t="s">
        <v>474</v>
      </c>
      <c r="B56" s="36" t="s">
        <v>60</v>
      </c>
      <c r="C56" s="16" t="s">
        <v>371</v>
      </c>
      <c r="D56" s="20" t="s">
        <v>475</v>
      </c>
      <c r="E56" s="19" t="s">
        <v>476</v>
      </c>
      <c r="F56" s="19" t="s">
        <v>477</v>
      </c>
      <c r="G56" s="44" t="s">
        <v>63</v>
      </c>
      <c r="H56" s="58" t="s">
        <v>478</v>
      </c>
      <c r="I56" s="15">
        <v>2</v>
      </c>
      <c r="J56" s="15">
        <v>3</v>
      </c>
      <c r="K56" s="15">
        <f t="shared" si="1"/>
        <v>1</v>
      </c>
      <c r="L56" s="54" t="s">
        <v>479</v>
      </c>
      <c r="M56" s="67" t="s">
        <v>480</v>
      </c>
      <c r="N56" s="70" t="s">
        <v>481</v>
      </c>
      <c r="O56" s="70" t="s">
        <v>482</v>
      </c>
      <c r="P56" s="19" t="s">
        <v>410</v>
      </c>
      <c r="Q56" s="15" t="s">
        <v>400</v>
      </c>
      <c r="R56" s="16" t="s">
        <v>30</v>
      </c>
      <c r="S56" s="18" t="s">
        <v>31</v>
      </c>
      <c r="T56" s="19"/>
      <c r="U56" s="19"/>
      <c r="V56" s="19"/>
      <c r="W56" s="46">
        <v>1</v>
      </c>
    </row>
    <row r="57" spans="1:23" ht="270" x14ac:dyDescent="0.2">
      <c r="A57" s="15" t="s">
        <v>483</v>
      </c>
      <c r="B57" s="35" t="s">
        <v>60</v>
      </c>
      <c r="C57" s="16" t="s">
        <v>371</v>
      </c>
      <c r="D57" s="17" t="s">
        <v>484</v>
      </c>
      <c r="E57" s="16" t="s">
        <v>485</v>
      </c>
      <c r="F57" s="16" t="s">
        <v>486</v>
      </c>
      <c r="G57" s="44" t="s">
        <v>63</v>
      </c>
      <c r="H57" s="60" t="s">
        <v>487</v>
      </c>
      <c r="I57" s="15">
        <v>2</v>
      </c>
      <c r="J57" s="15">
        <v>3</v>
      </c>
      <c r="K57" s="15">
        <f t="shared" si="1"/>
        <v>1</v>
      </c>
      <c r="L57" s="53" t="s">
        <v>488</v>
      </c>
      <c r="M57" s="68" t="s">
        <v>489</v>
      </c>
      <c r="N57" s="70" t="s">
        <v>490</v>
      </c>
      <c r="O57" s="70" t="s">
        <v>491</v>
      </c>
      <c r="P57" s="19" t="s">
        <v>410</v>
      </c>
      <c r="Q57" s="15" t="s">
        <v>29</v>
      </c>
      <c r="R57" s="16" t="s">
        <v>30</v>
      </c>
      <c r="S57" s="15" t="s">
        <v>31</v>
      </c>
      <c r="T57" s="16"/>
      <c r="U57" s="16"/>
      <c r="V57" s="16"/>
      <c r="W57" s="46">
        <v>1</v>
      </c>
    </row>
    <row r="58" spans="1:23" ht="240" x14ac:dyDescent="0.2">
      <c r="A58" s="18" t="s">
        <v>492</v>
      </c>
      <c r="B58" s="36" t="s">
        <v>60</v>
      </c>
      <c r="C58" s="16" t="s">
        <v>371</v>
      </c>
      <c r="D58" s="20" t="s">
        <v>493</v>
      </c>
      <c r="E58" s="19" t="s">
        <v>494</v>
      </c>
      <c r="F58" s="19" t="s">
        <v>495</v>
      </c>
      <c r="G58" s="44" t="s">
        <v>63</v>
      </c>
      <c r="H58" s="58" t="s">
        <v>496</v>
      </c>
      <c r="I58" s="15">
        <v>2</v>
      </c>
      <c r="J58" s="15">
        <v>3</v>
      </c>
      <c r="K58" s="15">
        <f t="shared" si="1"/>
        <v>1</v>
      </c>
      <c r="L58" s="54" t="s">
        <v>497</v>
      </c>
      <c r="M58" s="67" t="s">
        <v>498</v>
      </c>
      <c r="N58" s="70" t="s">
        <v>499</v>
      </c>
      <c r="O58" s="70" t="s">
        <v>500</v>
      </c>
      <c r="P58" s="19" t="s">
        <v>410</v>
      </c>
      <c r="Q58" s="15" t="s">
        <v>400</v>
      </c>
      <c r="R58" s="16" t="s">
        <v>30</v>
      </c>
      <c r="S58" s="18" t="s">
        <v>31</v>
      </c>
      <c r="T58" s="19"/>
      <c r="U58" s="19"/>
      <c r="V58" s="19"/>
      <c r="W58" s="46">
        <v>1</v>
      </c>
    </row>
    <row r="59" spans="1:23" ht="240" x14ac:dyDescent="0.2">
      <c r="A59" s="15" t="s">
        <v>501</v>
      </c>
      <c r="B59" s="35" t="s">
        <v>60</v>
      </c>
      <c r="C59" s="16" t="s">
        <v>371</v>
      </c>
      <c r="D59" s="17" t="s">
        <v>502</v>
      </c>
      <c r="E59" s="16" t="s">
        <v>503</v>
      </c>
      <c r="F59" s="16" t="s">
        <v>504</v>
      </c>
      <c r="G59" s="44" t="s">
        <v>63</v>
      </c>
      <c r="H59" s="60" t="s">
        <v>505</v>
      </c>
      <c r="I59" s="15">
        <v>2</v>
      </c>
      <c r="J59" s="15">
        <v>3</v>
      </c>
      <c r="K59" s="15">
        <f t="shared" si="1"/>
        <v>1</v>
      </c>
      <c r="L59" s="53" t="s">
        <v>506</v>
      </c>
      <c r="M59" s="68" t="s">
        <v>507</v>
      </c>
      <c r="N59" s="70" t="s">
        <v>508</v>
      </c>
      <c r="O59" s="70" t="s">
        <v>509</v>
      </c>
      <c r="P59" s="19" t="s">
        <v>410</v>
      </c>
      <c r="Q59" s="15" t="s">
        <v>400</v>
      </c>
      <c r="R59" s="16" t="s">
        <v>30</v>
      </c>
      <c r="S59" s="15" t="s">
        <v>31</v>
      </c>
      <c r="T59" s="16"/>
      <c r="U59" s="16"/>
      <c r="V59" s="16"/>
      <c r="W59" s="46">
        <v>1</v>
      </c>
    </row>
    <row r="60" spans="1:23" ht="342" x14ac:dyDescent="0.2">
      <c r="A60" s="18" t="s">
        <v>510</v>
      </c>
      <c r="B60" s="36" t="s">
        <v>60</v>
      </c>
      <c r="C60" s="19" t="s">
        <v>511</v>
      </c>
      <c r="D60" s="20" t="s">
        <v>512</v>
      </c>
      <c r="E60" s="19" t="s">
        <v>513</v>
      </c>
      <c r="F60" s="19" t="s">
        <v>514</v>
      </c>
      <c r="G60" s="44" t="s">
        <v>63</v>
      </c>
      <c r="H60" s="58" t="s">
        <v>642</v>
      </c>
      <c r="I60" s="15">
        <v>2</v>
      </c>
      <c r="J60" s="15">
        <v>3</v>
      </c>
      <c r="K60" s="15">
        <f t="shared" si="1"/>
        <v>1</v>
      </c>
      <c r="L60" s="54" t="s">
        <v>515</v>
      </c>
      <c r="M60" s="67" t="s">
        <v>516</v>
      </c>
      <c r="N60" s="70" t="s">
        <v>517</v>
      </c>
      <c r="O60" s="70" t="s">
        <v>518</v>
      </c>
      <c r="P60" s="19" t="s">
        <v>519</v>
      </c>
      <c r="Q60" s="18" t="s">
        <v>29</v>
      </c>
      <c r="R60" s="19" t="s">
        <v>30</v>
      </c>
      <c r="S60" s="18" t="s">
        <v>31</v>
      </c>
      <c r="T60" s="19"/>
      <c r="U60" s="19"/>
      <c r="V60" s="19"/>
      <c r="W60" s="46">
        <v>1</v>
      </c>
    </row>
    <row r="61" spans="1:23" ht="255" x14ac:dyDescent="0.2">
      <c r="A61" s="15" t="s">
        <v>520</v>
      </c>
      <c r="B61" s="43" t="s">
        <v>60</v>
      </c>
      <c r="C61" s="16" t="s">
        <v>511</v>
      </c>
      <c r="D61" s="17" t="s">
        <v>521</v>
      </c>
      <c r="E61" s="16" t="s">
        <v>522</v>
      </c>
      <c r="F61" s="16" t="s">
        <v>523</v>
      </c>
      <c r="G61" s="38" t="s">
        <v>25</v>
      </c>
      <c r="H61" s="61" t="s">
        <v>524</v>
      </c>
      <c r="I61" s="15">
        <v>3</v>
      </c>
      <c r="J61" s="15">
        <v>3</v>
      </c>
      <c r="K61" s="15">
        <f t="shared" si="1"/>
        <v>0</v>
      </c>
      <c r="L61" s="62" t="s">
        <v>525</v>
      </c>
      <c r="M61" s="69" t="s">
        <v>526</v>
      </c>
      <c r="N61" s="70" t="s">
        <v>527</v>
      </c>
      <c r="O61" s="70" t="s">
        <v>528</v>
      </c>
      <c r="P61" s="19" t="s">
        <v>529</v>
      </c>
      <c r="Q61" s="18" t="s">
        <v>29</v>
      </c>
      <c r="R61" s="19" t="s">
        <v>30</v>
      </c>
      <c r="S61" s="15" t="s">
        <v>31</v>
      </c>
      <c r="T61" s="16"/>
      <c r="U61" s="16"/>
      <c r="V61" s="16"/>
      <c r="W61" s="46">
        <v>1</v>
      </c>
    </row>
    <row r="62" spans="1:23" ht="270" x14ac:dyDescent="0.2">
      <c r="A62" s="18" t="s">
        <v>530</v>
      </c>
      <c r="B62" s="39" t="s">
        <v>60</v>
      </c>
      <c r="C62" s="19" t="s">
        <v>531</v>
      </c>
      <c r="D62" s="20" t="s">
        <v>532</v>
      </c>
      <c r="E62" s="19" t="s">
        <v>533</v>
      </c>
      <c r="F62" s="19" t="s">
        <v>534</v>
      </c>
      <c r="G62" s="42" t="s">
        <v>25</v>
      </c>
      <c r="H62" s="57" t="s">
        <v>535</v>
      </c>
      <c r="I62" s="18">
        <v>3</v>
      </c>
      <c r="J62" s="21">
        <v>3</v>
      </c>
      <c r="K62" s="18">
        <f t="shared" si="1"/>
        <v>0</v>
      </c>
      <c r="L62" s="54" t="s">
        <v>536</v>
      </c>
      <c r="M62" s="67" t="s">
        <v>537</v>
      </c>
      <c r="N62" s="70" t="s">
        <v>538</v>
      </c>
      <c r="O62" s="70" t="s">
        <v>539</v>
      </c>
      <c r="P62" s="19" t="s">
        <v>540</v>
      </c>
      <c r="Q62" s="18" t="s">
        <v>29</v>
      </c>
      <c r="R62" s="19" t="s">
        <v>30</v>
      </c>
      <c r="S62" s="18" t="s">
        <v>31</v>
      </c>
      <c r="T62" s="19"/>
      <c r="U62" s="19"/>
      <c r="V62" s="19"/>
      <c r="W62" s="46">
        <v>1</v>
      </c>
    </row>
    <row r="63" spans="1:23" ht="328" x14ac:dyDescent="0.2">
      <c r="A63" s="15" t="s">
        <v>541</v>
      </c>
      <c r="B63" s="35" t="s">
        <v>60</v>
      </c>
      <c r="C63" s="16" t="s">
        <v>531</v>
      </c>
      <c r="D63" s="17" t="s">
        <v>542</v>
      </c>
      <c r="E63" s="16" t="s">
        <v>543</v>
      </c>
      <c r="F63" s="16" t="s">
        <v>544</v>
      </c>
      <c r="G63" s="37" t="s">
        <v>63</v>
      </c>
      <c r="H63" s="60" t="s">
        <v>545</v>
      </c>
      <c r="I63" s="15">
        <v>2</v>
      </c>
      <c r="J63" s="15">
        <v>3</v>
      </c>
      <c r="K63" s="15">
        <f t="shared" si="1"/>
        <v>1</v>
      </c>
      <c r="L63" s="53" t="s">
        <v>546</v>
      </c>
      <c r="M63" s="68" t="s">
        <v>547</v>
      </c>
      <c r="N63" s="70" t="s">
        <v>548</v>
      </c>
      <c r="O63" s="70" t="s">
        <v>549</v>
      </c>
      <c r="P63" s="16" t="s">
        <v>550</v>
      </c>
      <c r="Q63" s="15" t="s">
        <v>29</v>
      </c>
      <c r="R63" s="16" t="s">
        <v>93</v>
      </c>
      <c r="S63" s="15" t="s">
        <v>31</v>
      </c>
      <c r="T63" s="16"/>
      <c r="U63" s="16"/>
      <c r="V63" s="16"/>
      <c r="W63" s="46">
        <v>1</v>
      </c>
    </row>
    <row r="64" spans="1:23" x14ac:dyDescent="0.2">
      <c r="G64" s="25"/>
    </row>
  </sheetData>
  <autoFilter ref="A1:U63" xr:uid="{00000000-0009-0000-0000-000001000000}"/>
  <dataValidations count="6">
    <dataValidation type="list" allowBlank="1" sqref="I2:I63" xr:uid="{00000000-0002-0000-0100-000000000000}">
      <formula1>"0,1,2,3,4,5"</formula1>
      <formula2>0</formula2>
    </dataValidation>
    <dataValidation type="list" allowBlank="1" sqref="J2:J63" xr:uid="{00000000-0002-0000-0100-000001000000}">
      <formula1>"3,4,5"</formula1>
      <formula2>0</formula2>
    </dataValidation>
    <dataValidation type="list" allowBlank="1" sqref="O2:O63" xr:uid="{00000000-0002-0000-0100-000002000000}">
      <formula1>"DE,AT,SK,PL,Alle"</formula1>
      <formula2>0</formula2>
    </dataValidation>
    <dataValidation type="list" allowBlank="1" sqref="P2:P63" xr:uid="{00000000-0002-0000-0100-000003000000}">
      <formula1>"Kritisch,Hoch,Mittel,Niedrig"</formula1>
      <formula2>0</formula2>
    </dataValidation>
    <dataValidation type="list" allowBlank="1" sqref="Q2:Q63" xr:uid="{00000000-0002-0000-0100-000004000000}">
      <formula1>"Offen,In Bearbeitung,Umgesetzt,Verifiziert,Akzeptiert"</formula1>
      <formula2>0</formula2>
    </dataValidation>
    <dataValidation type="list" allowBlank="1" errorTitle="Ungültiger Wert" error="Bitte gültigen Finding-Typ wählen" sqref="G2:G64" xr:uid="{00000000-0002-0000-0100-000005000000}">
      <formula1>"Major NC,Minor NC,Observation,OFI,Conformity"</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G19"/>
  <sheetViews>
    <sheetView zoomScaleNormal="100" workbookViewId="0">
      <selection activeCell="C5" sqref="C5:C19"/>
    </sheetView>
  </sheetViews>
  <sheetFormatPr baseColWidth="10" defaultColWidth="8.6640625" defaultRowHeight="15" x14ac:dyDescent="0.2"/>
  <cols>
    <col min="1" max="1" width="35" customWidth="1"/>
    <col min="2" max="2" width="80.33203125" hidden="1" customWidth="1"/>
    <col min="3" max="3" width="18.1640625" customWidth="1"/>
  </cols>
  <sheetData>
    <row r="1" spans="1:7" ht="34.5" customHeight="1" x14ac:dyDescent="0.2">
      <c r="A1" s="72" t="s">
        <v>557</v>
      </c>
      <c r="B1" s="73"/>
      <c r="C1" s="73"/>
      <c r="D1" s="73"/>
      <c r="E1" s="73"/>
      <c r="F1" s="73"/>
      <c r="G1" s="73"/>
    </row>
    <row r="3" spans="1:7" ht="18" customHeight="1" x14ac:dyDescent="0.2">
      <c r="A3" s="6" t="s">
        <v>558</v>
      </c>
      <c r="B3" s="6" t="s">
        <v>559</v>
      </c>
      <c r="C3" s="6" t="s">
        <v>560</v>
      </c>
    </row>
    <row r="4" spans="1:7" ht="18" customHeight="1" x14ac:dyDescent="0.2">
      <c r="A4" s="7" t="s">
        <v>561</v>
      </c>
      <c r="B4" s="8" t="s">
        <v>562</v>
      </c>
      <c r="C4" s="9">
        <f>COUNTA('TISAX Finding Register'!A3:A63)</f>
        <v>61</v>
      </c>
    </row>
    <row r="5" spans="1:7" ht="18" customHeight="1" x14ac:dyDescent="0.2">
      <c r="A5" s="10" t="s">
        <v>563</v>
      </c>
      <c r="B5" s="11" t="s">
        <v>564</v>
      </c>
      <c r="C5" s="12">
        <f>COUNTIF('TISAX Finding Register'!G3:G64,"&lt;&gt;")</f>
        <v>60</v>
      </c>
    </row>
    <row r="6" spans="1:7" ht="18" customHeight="1" x14ac:dyDescent="0.2">
      <c r="A6" s="7" t="s">
        <v>565</v>
      </c>
      <c r="B6" s="8" t="s">
        <v>566</v>
      </c>
      <c r="C6" s="9">
        <f>COUNTIF('TISAX Finding Register'!G3:G64,"Major NC")</f>
        <v>13</v>
      </c>
    </row>
    <row r="7" spans="1:7" ht="18" customHeight="1" x14ac:dyDescent="0.2">
      <c r="A7" s="10" t="s">
        <v>567</v>
      </c>
      <c r="B7" s="11" t="s">
        <v>568</v>
      </c>
      <c r="C7" s="12">
        <f>COUNTIF('TISAX Finding Register'!G3:G64,"Minor NC")</f>
        <v>32</v>
      </c>
    </row>
    <row r="8" spans="1:7" ht="18" customHeight="1" x14ac:dyDescent="0.2">
      <c r="A8" s="7" t="s">
        <v>569</v>
      </c>
      <c r="B8" s="8" t="s">
        <v>570</v>
      </c>
      <c r="C8" s="9">
        <f>COUNTIF('TISAX Finding Register'!G3:G64,"Observation")</f>
        <v>15</v>
      </c>
    </row>
    <row r="9" spans="1:7" ht="18" customHeight="1" x14ac:dyDescent="0.2">
      <c r="A9" s="10" t="s">
        <v>571</v>
      </c>
      <c r="B9" s="11" t="s">
        <v>572</v>
      </c>
      <c r="C9" s="12">
        <f>COUNTIF('TISAX Finding Register'!G3:G64,"OFI")</f>
        <v>0</v>
      </c>
    </row>
    <row r="10" spans="1:7" ht="18" customHeight="1" x14ac:dyDescent="0.2">
      <c r="A10" s="7" t="s">
        <v>573</v>
      </c>
      <c r="B10" s="8" t="s">
        <v>574</v>
      </c>
      <c r="C10" s="9">
        <f>COUNTIF('TISAX Finding Register'!Q3:Q63,"Offen")</f>
        <v>0</v>
      </c>
    </row>
    <row r="11" spans="1:7" ht="18" customHeight="1" x14ac:dyDescent="0.2">
      <c r="A11" s="10" t="s">
        <v>575</v>
      </c>
      <c r="B11" s="11" t="s">
        <v>576</v>
      </c>
      <c r="C11" s="12">
        <f>COUNTIF('TISAX Finding Register'!Q3:Q63,"In Bearbeitung")</f>
        <v>0</v>
      </c>
    </row>
    <row r="12" spans="1:7" ht="18" customHeight="1" x14ac:dyDescent="0.2">
      <c r="A12" s="7" t="s">
        <v>577</v>
      </c>
      <c r="B12" s="8" t="s">
        <v>578</v>
      </c>
      <c r="C12" s="9">
        <f>COUNTIF('TISAX Finding Register'!Q3:Q63,"Umgesetzt")</f>
        <v>0</v>
      </c>
    </row>
    <row r="13" spans="1:7" ht="18" customHeight="1" x14ac:dyDescent="0.2">
      <c r="A13" s="10" t="s">
        <v>579</v>
      </c>
      <c r="B13" s="11" t="s">
        <v>580</v>
      </c>
      <c r="C13" s="12">
        <f>COUNTIF('TISAX Finding Register'!Q3:Q63,"Verifiziert")</f>
        <v>0</v>
      </c>
    </row>
    <row r="14" spans="1:7" ht="18" customHeight="1" x14ac:dyDescent="0.2">
      <c r="A14" s="7" t="s">
        <v>581</v>
      </c>
      <c r="B14" s="8" t="s">
        <v>582</v>
      </c>
      <c r="C14" s="9">
        <f>COUNTIF('TISAX Finding Register'!P3:P63,"Kritisch")</f>
        <v>0</v>
      </c>
    </row>
    <row r="15" spans="1:7" ht="18" customHeight="1" x14ac:dyDescent="0.2">
      <c r="A15" s="10" t="s">
        <v>583</v>
      </c>
      <c r="B15" s="11" t="s">
        <v>584</v>
      </c>
      <c r="C15" s="12">
        <f>COUNTIF('TISAX Finding Register'!P3:P63,"Hoch")</f>
        <v>0</v>
      </c>
    </row>
    <row r="16" spans="1:7" ht="18" customHeight="1" x14ac:dyDescent="0.2">
      <c r="A16" s="7" t="s">
        <v>585</v>
      </c>
      <c r="B16" s="8" t="s">
        <v>586</v>
      </c>
      <c r="C16" s="9">
        <f>COUNTIF('TISAX Finding Register'!O3:O63,"DE")</f>
        <v>0</v>
      </c>
    </row>
    <row r="17" spans="1:3" ht="18" customHeight="1" x14ac:dyDescent="0.2">
      <c r="A17" s="10" t="s">
        <v>587</v>
      </c>
      <c r="B17" s="11" t="s">
        <v>588</v>
      </c>
      <c r="C17" s="12">
        <f>COUNTIF('TISAX Finding Register'!O3:O63,"AT")</f>
        <v>0</v>
      </c>
    </row>
    <row r="18" spans="1:3" ht="18" customHeight="1" x14ac:dyDescent="0.2">
      <c r="A18" s="7" t="s">
        <v>589</v>
      </c>
      <c r="B18" s="8" t="s">
        <v>590</v>
      </c>
      <c r="C18" s="9">
        <f>COUNTIF('TISAX Finding Register'!O3:O63,"SK")</f>
        <v>0</v>
      </c>
    </row>
    <row r="19" spans="1:3" ht="18" customHeight="1" x14ac:dyDescent="0.2">
      <c r="A19" s="10" t="s">
        <v>591</v>
      </c>
      <c r="B19" s="11" t="s">
        <v>592</v>
      </c>
      <c r="C19" s="12">
        <f>COUNTIF('TISAX Finding Register'!O3:O63,"PL")</f>
        <v>0</v>
      </c>
    </row>
  </sheetData>
  <mergeCells count="1">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A47"/>
  <sheetViews>
    <sheetView zoomScaleNormal="100" workbookViewId="0">
      <selection activeCell="A44" sqref="A44:A45"/>
    </sheetView>
  </sheetViews>
  <sheetFormatPr baseColWidth="10" defaultColWidth="8.6640625" defaultRowHeight="15" x14ac:dyDescent="0.2"/>
  <cols>
    <col min="1" max="1" width="80" customWidth="1"/>
  </cols>
  <sheetData>
    <row r="1" spans="1:1" ht="18" customHeight="1" x14ac:dyDescent="0.2">
      <c r="A1" s="63" t="s">
        <v>593</v>
      </c>
    </row>
    <row r="2" spans="1:1" x14ac:dyDescent="0.2">
      <c r="A2" s="2"/>
    </row>
    <row r="3" spans="1:1" x14ac:dyDescent="0.2">
      <c r="A3" s="3" t="s">
        <v>594</v>
      </c>
    </row>
    <row r="4" spans="1:1" x14ac:dyDescent="0.2">
      <c r="A4" s="2" t="s">
        <v>595</v>
      </c>
    </row>
    <row r="5" spans="1:1" x14ac:dyDescent="0.2">
      <c r="A5" s="2" t="s">
        <v>596</v>
      </c>
    </row>
    <row r="6" spans="1:1" x14ac:dyDescent="0.2">
      <c r="A6" s="2" t="s">
        <v>597</v>
      </c>
    </row>
    <row r="7" spans="1:1" x14ac:dyDescent="0.2">
      <c r="A7" s="2" t="s">
        <v>598</v>
      </c>
    </row>
    <row r="8" spans="1:1" x14ac:dyDescent="0.2">
      <c r="A8" s="2" t="s">
        <v>599</v>
      </c>
    </row>
    <row r="9" spans="1:1" x14ac:dyDescent="0.2">
      <c r="A9" s="2"/>
    </row>
    <row r="10" spans="1:1" x14ac:dyDescent="0.2">
      <c r="A10" s="3" t="s">
        <v>600</v>
      </c>
    </row>
    <row r="11" spans="1:1" x14ac:dyDescent="0.2">
      <c r="A11" s="2" t="s">
        <v>601</v>
      </c>
    </row>
    <row r="12" spans="1:1" x14ac:dyDescent="0.2">
      <c r="A12" s="2" t="s">
        <v>602</v>
      </c>
    </row>
    <row r="13" spans="1:1" x14ac:dyDescent="0.2">
      <c r="A13" s="2" t="s">
        <v>603</v>
      </c>
    </row>
    <row r="14" spans="1:1" x14ac:dyDescent="0.2">
      <c r="A14" s="2" t="s">
        <v>604</v>
      </c>
    </row>
    <row r="15" spans="1:1" x14ac:dyDescent="0.2">
      <c r="A15" s="2" t="s">
        <v>605</v>
      </c>
    </row>
    <row r="16" spans="1:1" x14ac:dyDescent="0.2">
      <c r="A16" s="2" t="s">
        <v>606</v>
      </c>
    </row>
    <row r="17" spans="1:1" x14ac:dyDescent="0.2">
      <c r="A17" s="2" t="s">
        <v>607</v>
      </c>
    </row>
    <row r="18" spans="1:1" x14ac:dyDescent="0.2">
      <c r="A18" s="2" t="s">
        <v>608</v>
      </c>
    </row>
    <row r="19" spans="1:1" x14ac:dyDescent="0.2">
      <c r="A19" s="2" t="s">
        <v>609</v>
      </c>
    </row>
    <row r="20" spans="1:1" x14ac:dyDescent="0.2">
      <c r="A20" s="2" t="s">
        <v>610</v>
      </c>
    </row>
    <row r="21" spans="1:1" x14ac:dyDescent="0.2">
      <c r="A21" s="2"/>
    </row>
    <row r="22" spans="1:1" x14ac:dyDescent="0.2">
      <c r="A22" s="3" t="s">
        <v>611</v>
      </c>
    </row>
    <row r="23" spans="1:1" x14ac:dyDescent="0.2">
      <c r="A23" s="2" t="s">
        <v>612</v>
      </c>
    </row>
    <row r="24" spans="1:1" x14ac:dyDescent="0.2">
      <c r="A24" s="2" t="s">
        <v>613</v>
      </c>
    </row>
    <row r="25" spans="1:1" x14ac:dyDescent="0.2">
      <c r="A25" s="2" t="s">
        <v>614</v>
      </c>
    </row>
    <row r="26" spans="1:1" x14ac:dyDescent="0.2">
      <c r="A26" s="2" t="s">
        <v>615</v>
      </c>
    </row>
    <row r="27" spans="1:1" x14ac:dyDescent="0.2">
      <c r="A27" s="2" t="s">
        <v>616</v>
      </c>
    </row>
    <row r="28" spans="1:1" x14ac:dyDescent="0.2">
      <c r="A28" s="2"/>
    </row>
    <row r="29" spans="1:1" x14ac:dyDescent="0.2">
      <c r="A29" s="3" t="s">
        <v>617</v>
      </c>
    </row>
    <row r="30" spans="1:1" x14ac:dyDescent="0.2">
      <c r="A30" s="2" t="s">
        <v>618</v>
      </c>
    </row>
    <row r="31" spans="1:1" x14ac:dyDescent="0.2">
      <c r="A31" s="2" t="s">
        <v>619</v>
      </c>
    </row>
    <row r="32" spans="1:1" x14ac:dyDescent="0.2">
      <c r="A32" s="2" t="s">
        <v>620</v>
      </c>
    </row>
    <row r="33" spans="1:1" x14ac:dyDescent="0.2">
      <c r="A33" s="2"/>
    </row>
    <row r="34" spans="1:1" x14ac:dyDescent="0.2">
      <c r="A34" s="3" t="s">
        <v>621</v>
      </c>
    </row>
    <row r="35" spans="1:1" x14ac:dyDescent="0.2">
      <c r="A35" s="2" t="s">
        <v>622</v>
      </c>
    </row>
    <row r="36" spans="1:1" x14ac:dyDescent="0.2">
      <c r="A36" s="2" t="s">
        <v>623</v>
      </c>
    </row>
    <row r="37" spans="1:1" x14ac:dyDescent="0.2">
      <c r="A37" s="2" t="s">
        <v>624</v>
      </c>
    </row>
    <row r="38" spans="1:1" x14ac:dyDescent="0.2">
      <c r="A38" s="2"/>
    </row>
    <row r="39" spans="1:1" x14ac:dyDescent="0.2">
      <c r="A39" s="3" t="s">
        <v>625</v>
      </c>
    </row>
    <row r="40" spans="1:1" x14ac:dyDescent="0.2">
      <c r="A40" s="2" t="s">
        <v>626</v>
      </c>
    </row>
    <row r="41" spans="1:1" x14ac:dyDescent="0.2">
      <c r="A41" s="2" t="s">
        <v>627</v>
      </c>
    </row>
    <row r="42" spans="1:1" x14ac:dyDescent="0.2">
      <c r="A42" s="2" t="s">
        <v>628</v>
      </c>
    </row>
    <row r="43" spans="1:1" x14ac:dyDescent="0.2">
      <c r="A43" s="2"/>
    </row>
    <row r="44" spans="1:1" x14ac:dyDescent="0.2">
      <c r="A44" s="4" t="s">
        <v>629</v>
      </c>
    </row>
    <row r="45" spans="1:1" x14ac:dyDescent="0.2">
      <c r="A45" s="2" t="s">
        <v>630</v>
      </c>
    </row>
    <row r="46" spans="1:1" x14ac:dyDescent="0.2">
      <c r="A46" s="2"/>
    </row>
    <row r="47" spans="1:1" x14ac:dyDescent="0.2">
      <c r="A47" s="5" t="s">
        <v>631</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8ACDBE60086FAA4F8F1D5A5D26C518DF" ma:contentTypeVersion="14" ma:contentTypeDescription="Ein neues Dokument erstellen." ma:contentTypeScope="" ma:versionID="49a2af1810e2484e4470b3a8538a7d3f">
  <xsd:schema xmlns:xsd="http://www.w3.org/2001/XMLSchema" xmlns:xs="http://www.w3.org/2001/XMLSchema" xmlns:p="http://schemas.microsoft.com/office/2006/metadata/properties" xmlns:ns2="8d181bf8-2068-4739-8871-ee507501b2ce" xmlns:ns3="2d381071-7877-4367-bde3-715a0fe14163" targetNamespace="http://schemas.microsoft.com/office/2006/metadata/properties" ma:root="true" ma:fieldsID="5ef8a4e0bc95fe62b436b4aca5b4329d" ns2:_="" ns3:_="">
    <xsd:import namespace="8d181bf8-2068-4739-8871-ee507501b2ce"/>
    <xsd:import namespace="2d381071-7877-4367-bde3-715a0fe14163"/>
    <xsd:element name="properties">
      <xsd:complexType>
        <xsd:sequence>
          <xsd:element name="documentManagement">
            <xsd:complexType>
              <xsd:all>
                <xsd:element ref="ns2:Descrip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UpdateMaturity" minOccurs="0"/>
                <xsd:element ref="ns2:Land_x002d_Standort_x002c_Entity_x002c_Werk_x002c_Warehous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181bf8-2068-4739-8871-ee507501b2ce" elementFormDefault="qualified">
    <xsd:import namespace="http://schemas.microsoft.com/office/2006/documentManagement/types"/>
    <xsd:import namespace="http://schemas.microsoft.com/office/infopath/2007/PartnerControls"/>
    <xsd:element name="Description" ma:index="8" nillable="true" ma:displayName="Description" ma:format="Dropdown" ma:internalName="Description">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UpdateMaturity" ma:index="16" nillable="true" ma:displayName="Update Maturity" ma:format="DateOnly" ma:internalName="UpdateMaturity">
      <xsd:simpleType>
        <xsd:restriction base="dms:DateTime"/>
      </xsd:simpleType>
    </xsd:element>
    <xsd:element name="Land_x002d_Standort_x002c_Entity_x002c_Werk_x002c_Warehouse" ma:index="17" nillable="true" ma:displayName="Land-Standort, Entity, Werk, Warehouse" ma:description="Land, Standort, Entity, Werk, Warehouse" ma:format="Dropdown" ma:internalName="Land_x002d_Standort_x002c_Entity_x002c_Werk_x002c_Warehouse">
      <xsd:simpleType>
        <xsd:union memberTypes="dms:Text">
          <xsd:simpleType>
            <xsd:restriction base="dms:Choice">
              <xsd:enumeration value="DE-L, Reutter-Group, HQ"/>
              <xsd:enumeration value="DE-L, Reutter GmbH"/>
              <xsd:enumeration value="AT-B, REUTTER GmbH"/>
              <xsd:enumeration value="AT-G, REUTTER GmbH"/>
              <xsd:enumeration value="SK-Myja, Reutter SK s.r.o., Plant"/>
              <xsd:enumeration value="SK-Myja, Reutter SK s.r.o. Warehouse"/>
              <xsd:enumeration value="PL-Mie,ITIB Poland SP. Z O.O., Plant"/>
              <xsd:enumeration value="Overall Rating REUTIB"/>
            </xsd:restriction>
          </xsd:simpleType>
        </xsd:union>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43f40ce4-7bd6-448f-9c38-811a9ebee48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381071-7877-4367-bde3-715a0fe1416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cfaaccf-5919-4008-9206-b09242b8c4bd}" ma:internalName="TaxCatchAll" ma:showField="CatchAllData" ma:web="2d381071-7877-4367-bde3-715a0fe141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d181bf8-2068-4739-8871-ee507501b2ce">
      <Terms xmlns="http://schemas.microsoft.com/office/infopath/2007/PartnerControls"/>
    </lcf76f155ced4ddcb4097134ff3c332f>
    <Land_x002d_Standort_x002c_Entity_x002c_Werk_x002c_Warehouse xmlns="8d181bf8-2068-4739-8871-ee507501b2ce">Overall Rating REUTIB</Land_x002d_Standort_x002c_Entity_x002c_Werk_x002c_Warehouse>
    <TaxCatchAll xmlns="2d381071-7877-4367-bde3-715a0fe14163" xsi:nil="true"/>
    <UpdateMaturity xmlns="8d181bf8-2068-4739-8871-ee507501b2ce" xsi:nil="true"/>
    <Description xmlns="8d181bf8-2068-4739-8871-ee507501b2ce" xsi:nil="true"/>
  </documentManagement>
</p:properties>
</file>

<file path=customXml/itemProps1.xml><?xml version="1.0" encoding="utf-8"?>
<ds:datastoreItem xmlns:ds="http://schemas.openxmlformats.org/officeDocument/2006/customXml" ds:itemID="{D442E2DD-57DE-43C2-A250-75F2F8D41740}">
  <ds:schemaRefs>
    <ds:schemaRef ds:uri="http://schemas.microsoft.com/sharepoint/v3/contenttype/forms"/>
  </ds:schemaRefs>
</ds:datastoreItem>
</file>

<file path=customXml/itemProps2.xml><?xml version="1.0" encoding="utf-8"?>
<ds:datastoreItem xmlns:ds="http://schemas.openxmlformats.org/officeDocument/2006/customXml" ds:itemID="{D75F588A-C8F2-4DB8-9F84-32594260D4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181bf8-2068-4739-8871-ee507501b2ce"/>
    <ds:schemaRef ds:uri="2d381071-7877-4367-bde3-715a0fe141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3E7A5E-5F96-4537-A2C7-7FD51FDA5CE1}">
  <ds:schemaRefs>
    <ds:schemaRef ds:uri="http://purl.org/dc/elements/1.1/"/>
    <ds:schemaRef ds:uri="http://schemas.openxmlformats.org/package/2006/metadata/core-properties"/>
    <ds:schemaRef ds:uri="http://purl.org/dc/dcmitype/"/>
    <ds:schemaRef ds:uri="2d381071-7877-4367-bde3-715a0fe14163"/>
    <ds:schemaRef ds:uri="8d181bf8-2068-4739-8871-ee507501b2ce"/>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RATIO</vt:lpstr>
      <vt:lpstr>TISAX Finding Register</vt:lpstr>
      <vt:lpstr>Dashboard</vt:lpstr>
      <vt:lpstr>Anleitung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 Luetz</cp:lastModifiedBy>
  <cp:revision>0</cp:revision>
  <cp:lastPrinted>2026-04-24T05:50:41Z</cp:lastPrinted>
  <dcterms:created xsi:type="dcterms:W3CDTF">2026-03-31T12:30:25Z</dcterms:created>
  <dcterms:modified xsi:type="dcterms:W3CDTF">2026-06-17T14:54:53Z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0x0101008ACDBE60086FAA4F8F1D5A5D26C518DF</vt:lpwstr>
  </property>
  <property fmtid="{D5CDD505-2E9C-101B-9397-08002B2CF9AE}" pid="3" name="MediaServiceImageTags">
    <vt:lpwstr/>
  </property>
</Properties>
</file>